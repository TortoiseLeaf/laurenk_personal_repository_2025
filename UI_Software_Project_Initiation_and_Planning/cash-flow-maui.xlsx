
<file path=[Content_Types].xml><?xml version="1.0" encoding="utf-8"?>
<Types xmlns="http://schemas.openxmlformats.org/package/2006/content-types">
  <Default Extension="bin" ContentType="application/vnd.openxmlformats-officedocument.oleObject"/>
  <Default Extension="jpeg" ContentType="image/jpeg"/>
  <Default Extension="rels" ContentType="application/vnd.openxmlformats-package.relationships+xml"/>
  <Default Extension="xml" ContentType="application/xml"/>
  <Default Extension="png" ContentType="image/png"/>
  <Default Extension="wmf" ContentType="image/x-wmf"/>
  <Default Extension="vml" ContentType="application/vnd.openxmlformats-officedocument.vmlDrawing"/>
  <Override PartName="/docProps/app.xml" ContentType="application/vnd.openxmlformats-officedocument.extended-properties+xml"/>
  <Override PartName="/xl/comments1.xml" ContentType="application/vnd.openxmlformats-officedocument.spreadsheetml.comments+xml"/>
  <Override PartName="/docProps/core.xml" ContentType="application/vnd.openxmlformats-package.core-properties+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Override PartName="/xl/persons/person.xml" ContentType="application/vnd.ms-excel.person+xml"/>
  <Override PartName="/xl/threadedComments/threadedComment1.xml" ContentType="application/vnd.ms-excel.threadedcomments+xml"/>
  <Override PartName="/xl/theme/theme1.xml" ContentType="application/vnd.openxmlformats-officedocument.theme+xml"/>
  <Override PartName="/xl/styles.xml" ContentType="application/vnd.openxmlformats-officedocument.spreadsheetml.styles+xml"/>
</Types>
</file>

<file path=_rels/.rels><?xml version="1.0" encoding="UTF-8" standalone="yes"?><Relationships xmlns="http://schemas.openxmlformats.org/package/2006/relationships"><Relationship  Id="rId1" Type="http://schemas.openxmlformats.org/officeDocument/2006/relationships/extended-properties" Target="docProps/app.xml"/><Relationship  Id="rId2" Type="http://schemas.openxmlformats.org/package/2006/relationships/metadata/core-properties" Target="docProps/core.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4="http://schemas.microsoft.com/office/spreadsheetml/2009/9/main"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bookViews>
    <workbookView xWindow="360" yWindow="15" windowWidth="20955" windowHeight="9720" activeTab="0"/>
  </bookViews>
  <sheets>
    <sheet name="Sheet1" sheetId="1" state="visible" r:id="rId2"/>
  </sheets>
  <calcPr/>
  <extLst>
    <ext xmlns:x15="http://schemas.microsoft.com/office/spreadsheetml/2010/11/main" uri="{D0CA8CA8-9F24-4464-BF8E-62219DCF47F9}"/>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tc={882d51af-3269-1bf7-4b31-3a1fe6104ee7}</author>
    <author>tc={f371b72e-01bb-4eff-94b7-498a70678990}</author>
    <author>tc={f7502d59-83b0-d240-5c48-7c39ef60fd2b}</author>
    <author>tc={1b68213d-f6f6-f657-fa35-a6d00303f1e9}</author>
    <author>tc={634663f2-d2b3-3a7d-3e3b-991cb0d723cc}</author>
    <author>tc={301ab3af-bfe9-fbaa-859d-261c589fa9f2}</author>
    <author>tc={4f2a1241-44bf-d498-0ea2-c11a8d4815f4}</author>
    <author>tc={b9bd068f-f1c0-5629-2808-14d6a02e9dba}</author>
    <author>tc={9f58acf7-774a-dbb2-4396-b55c51337c6a}</author>
    <author>tc={ff35b7df-1374-6ae7-2864-78e270dde45f}</author>
    <author>tc={9239f211-c845-074f-71ae-15b52f4914af}</author>
    <author>tc={3ae576e4-ca1e-55a3-ec97-b3162a9c0046}</author>
    <author>tc={ca82f6b1-ebfe-bcc6-0ad2-abf9eed412a1}</author>
    <author>tc={0d7b761e-67cd-d103-48b9-6ba9fa5b3974}</author>
    <author>tc={fbb78e0e-b469-79dc-21c9-b1051b3ca13e}</author>
    <author>tc={3182d2cf-055a-7452-681f-336e0cf3edd5}</author>
    <author>tc={e5990929-1305-2dbe-2b28-4c8ac32f72e7}</author>
    <author>tc={38cf6407-3771-fb48-8e62-9033830e9cdb}</author>
    <author>tc={5caf605a-ebb2-9c14-fb1e-835ef20c1bf4}</author>
    <author>tc={1559d2dc-baa2-d59f-9ff9-099eafa1bce2}</author>
    <author>tc={62661412-6e4d-5f67-cfcb-58834a1f4a39}</author>
    <author>tc={5afdfb06-e9b9-ab1c-97bd-9e698185e3d1}</author>
    <author>tc={1a016af7-264a-8326-9d49-8d2a0adfbead}</author>
    <author>tc={446e22c4-2eda-d01d-32c0-5bf5e2063d70}</author>
    <author>tc={ae850658-0f17-3c29-d172-e8afe9b4837e}</author>
    <author>tc={73265cac-29c5-69dd-3c45-0292a3a478ce}</author>
    <author>tc={ac3d8698-9b3d-e95e-ea6c-134758a61ed8}</author>
    <author>tc={1637cc03-32bd-a4be-7eea-98b3d3b9235f}</author>
    <author>tc={aaed5316-baa9-6a6d-4652-32c815638106}</author>
    <author>tc={5855cac1-58d0-ab89-3415-d090ad9d2ba4}</author>
    <author>tc={f01c77f3-bede-b77e-7b53-84a0a9f23036}</author>
    <author>tc={2ed74b0b-3d71-2cc8-626d-b729ca96166b}</author>
    <author>tc={8417ebe6-7ea4-4304-6f96-e87b7b4e0b43}</author>
    <author>tc={53ff781a-2a83-ceb6-a0a7-06f3fc9e3ffd}</author>
    <author>tc={f5220219-14c2-7a7f-380e-14538249b9ab}</author>
    <author>tc={3aeab38a-d7b4-e210-e230-cfab656d48bc}</author>
    <author>tc={5b2d23fe-34dc-be59-9656-f43d8adc2074}</author>
    <author>tc={6df50f23-655e-5df7-16ad-befdd0bc96e1}</author>
    <author>tc={ae2bba9e-dc11-722d-c83a-2b12b5c4f6a8}</author>
    <author>tc={c51ffbb3-ee99-6a9b-f5f0-d0917c62837a}</author>
    <author>tc={e1dcf7b9-90b3-b661-1de8-3b67359c5c7d}</author>
    <author>tc={df1bac1b-7e7f-abcb-a67c-0d1077507e9d}</author>
    <author>tc={2e42492d-90b7-6953-d2d3-8319d4a91e88}</author>
    <author>tc={104227df-22ef-c507-2eb9-53fac1bc6b74}</author>
    <author>tc={a6932d2a-b3dd-d894-6c88-b67b25f9cf9a}</author>
    <author>tc={6809d84c-d9c6-40b0-67fb-05262d615d77}</author>
    <author>tc={3bb02673-9ce8-c793-0c70-61be9881bcdf}</author>
    <author>tc={abaebfe0-7556-6190-cf03-a4b8ea0839b7}</author>
    <author>tc={a2bdd411-2cbf-30eb-a448-a0dd5b228658}</author>
    <author>tc={9c7d0011-60bd-79df-8a1a-91403ef77edc}</author>
    <author>tc={5210a8ae-646e-e94a-4779-985a3280ac02}</author>
    <author>tc={b4026a48-5250-6578-aa06-07446ec6894c}</author>
    <author>tc={35fc713c-c9c5-c0a5-a9a4-9b7a6d70bfc5}</author>
    <author>tc={72b4233f-9e08-bb03-b475-099470f1e367}</author>
    <author>tc={0e8e5db2-bb19-7969-3f4f-949488887d52}</author>
    <author>tc={bcd66f2e-18c5-8f5e-e055-aa7f412fb090}</author>
    <author>tc={7f51f8d1-c8f0-a84d-f9a8-74a8b5aa15c3}</author>
    <author>tc={79bf3859-14e7-106a-bacb-6b94fe278f8b}</author>
    <author>tc={b5f35f55-2424-b548-b367-622dcf753a3e}</author>
    <author>tc={9d66f356-3ca5-c191-8a99-35a53de775ec}</author>
    <author>tc={baa9df04-efd9-7be4-c5c9-2b1a18f98aae}</author>
    <author>tc={f6502e8f-2091-03e3-6e3b-d3ee4ee2b584}</author>
    <author>tc={20ea3103-cf0f-3469-a596-ee8da6370d8c}</author>
    <author>tc={d895b3cd-2bcd-1ed4-1036-eaaca1b3783d}</author>
    <author>tc={6324958d-5d3f-fae7-c89f-3fc4bbc1ffda}</author>
    <author>tc={c52f62ad-2dd7-aec6-0e55-80e9af53b1f9}</author>
    <author>tc={d428a997-f208-389a-09cd-7381a0844d47}</author>
    <author>tc={770b60d9-d001-5d79-1b4d-a6f623dcd238}</author>
    <author>tc={05a2c7ac-cc92-dbe1-c98b-9e0ad6f89599}</author>
    <author>tc={46c23f41-f179-4967-070f-530d995ea988}</author>
    <author>tc={f0e94bc5-6fe1-2ab8-14f8-d84e8a63ff88}</author>
  </authors>
  <commentList>
    <comment ref="A21" authorId="0" xr:uid="{882d51af-3269-1bf7-4b31-3a1fe6104ee7}">
      <text>
        <r>
          <rPr>
            <b/>
            <sz val="9"/>
            <rFont val="Tahoma"/>
          </rPr>
          <t>Comment:</t>
        </r>
        <r>
          <rPr>
            <sz val="9"/>
            <rFont val="Tahoma"/>
          </rPr>
          <t xml:space="preserve">
Explanation:
Your forecast will run for 12-months from the start month you choose. This may be the month you expect to start your business or, if you have already started trading, the month you would like to receive the loan, if successful.
Click on the cell to reveal a drop down list.
</t>
        </r>
      </text>
    </comment>
    <comment ref="A23" authorId="1" xr:uid="{f371b72e-01bb-4eff-94b7-498a70678990}">
      <text>
        <r>
          <rPr>
            <b/>
            <sz val="9"/>
            <rFont val="Tahoma"/>
          </rPr>
          <t>Comment:</t>
        </r>
        <r>
          <rPr>
            <sz val="9"/>
            <rFont val="Tahoma"/>
          </rPr>
          <t xml:space="preserve">
Explanation
This is where you list any money that you have coming in to your business such as product or service sales, equity or other investments and your Start Up Loan.
The number of items you include will depend on your business model, but a typical revenue section usually includes between three and six items. If any of the pre-listed items are not relevant to your business, simply mark '0' in in the value field; and equally, if there are any items missing from the list, you can add them in the free fields at the bottom of the table.
</t>
        </r>
      </text>
    </comment>
    <comment ref="B23" authorId="2" xr:uid="{f7502d59-83b0-d240-5c48-7c39ef60fd2b}">
      <text>
        <r>
          <rPr>
            <b/>
            <sz val="9"/>
            <rFont val="Tahoma"/>
          </rPr>
          <t>Comment:</t>
        </r>
        <r>
          <rPr>
            <sz val="9"/>
            <rFont val="Tahoma"/>
          </rPr>
          <t xml:space="preserve">
Explanation:
Add a brief description for any items to help your Business Adviser understand each cash in-flow.
</t>
        </r>
      </text>
    </comment>
    <comment ref="P23" authorId="3" xr:uid="{1b68213d-f6f6-f657-fa35-a6d00303f1e9}">
      <text>
        <r>
          <rPr>
            <b/>
            <sz val="9"/>
            <rFont val="Tahoma"/>
          </rPr>
          <t>Comment:</t>
        </r>
        <r>
          <rPr>
            <sz val="9"/>
            <rFont val="Tahoma"/>
          </rPr>
          <t xml:space="preserve">
Explanation:
This column will give you the 12-month total for each of your cash in-flows.
</t>
        </r>
      </text>
    </comment>
    <comment ref="C23" authorId="4" xr:uid="{634663f2-d2b3-3a7d-3e3b-991cb0d723cc}">
      <text>
        <r>
          <rPr>
            <b/>
            <sz val="9"/>
            <rFont val="Tahoma"/>
          </rPr>
          <t>Comment:</t>
        </r>
        <r>
          <rPr>
            <sz val="9"/>
            <rFont val="Tahoma"/>
          </rPr>
          <t xml:space="preserve">
Explanation:
Enter any money that you have prior to starting your 12-month forecast in this column. Leave it blank if this does not apply to some/any of your items.
</t>
        </r>
      </text>
    </comment>
    <comment ref="A24" authorId="5" xr:uid="{301ab3af-bfe9-fbaa-859d-261c589fa9f2}">
      <text>
        <r>
          <rPr>
            <b/>
            <sz val="9"/>
            <rFont val="Tahoma"/>
          </rPr>
          <t>Comment:</t>
        </r>
        <r>
          <rPr>
            <sz val="9"/>
            <rFont val="Tahoma"/>
          </rPr>
          <t xml:space="preserve">
Explanation:
This is value of the sales you anticipate making in the next 12-months.
This row will auto-populate based on the figures you entered in the 'Sales Assumption' tab so there is no need to update these cells.
</t>
        </r>
      </text>
    </comment>
    <comment ref="K24" authorId="6" xr:uid="{4f2a1241-44bf-d498-0ea2-c11a8d4815f4}">
      <text>
        <r>
          <rPr>
            <b/>
            <sz val="9"/>
            <rFont val="Tahoma"/>
          </rPr>
          <t>Comment:</t>
        </r>
        <r>
          <rPr>
            <sz val="9"/>
            <rFont val="Tahoma"/>
          </rPr>
          <t xml:space="preserve">
Explanation:
This row will auto-populate based on the figures you entered in the 'Sales Assumption' tab so there is no need to update these cells.
</t>
        </r>
      </text>
    </comment>
    <comment ref="L24" authorId="7" xr:uid="{b9bd068f-f1c0-5629-2808-14d6a02e9dba}">
      <text>
        <r>
          <rPr>
            <b/>
            <sz val="9"/>
            <rFont val="Tahoma"/>
          </rPr>
          <t>Comment:</t>
        </r>
        <r>
          <rPr>
            <sz val="9"/>
            <rFont val="Tahoma"/>
          </rPr>
          <t xml:space="preserve">
Explanation:
This row will auto-populate based on the figures you entered in the 'Sales Assumption' tab so there is no need to update these cells.
</t>
        </r>
      </text>
    </comment>
    <comment ref="M24" authorId="8" xr:uid="{9f58acf7-774a-dbb2-4396-b55c51337c6a}">
      <text>
        <r>
          <rPr>
            <b/>
            <sz val="9"/>
            <rFont val="Tahoma"/>
          </rPr>
          <t>Comment:</t>
        </r>
        <r>
          <rPr>
            <sz val="9"/>
            <rFont val="Tahoma"/>
          </rPr>
          <t xml:space="preserve">
Explanation:
This row will auto-populate based on the figures you entered in the 'Sales Assumption' tab so there is no need to update these cells.
</t>
        </r>
      </text>
    </comment>
    <comment ref="N24" authorId="9" xr:uid="{ff35b7df-1374-6ae7-2864-78e270dde45f}">
      <text>
        <r>
          <rPr>
            <b/>
            <sz val="9"/>
            <rFont val="Tahoma"/>
          </rPr>
          <t>Comment:</t>
        </r>
        <r>
          <rPr>
            <sz val="9"/>
            <rFont val="Tahoma"/>
          </rPr>
          <t xml:space="preserve">
Explanation:
This row will auto-populate based on the figures you entered in the 'Sales Assumption' tab so there is no need to update these cells.
</t>
        </r>
      </text>
    </comment>
    <comment ref="O24" authorId="10" xr:uid="{9239f211-c845-074f-71ae-15b52f4914af}">
      <text>
        <r>
          <rPr>
            <b/>
            <sz val="9"/>
            <rFont val="Tahoma"/>
          </rPr>
          <t>Comment:</t>
        </r>
        <r>
          <rPr>
            <sz val="9"/>
            <rFont val="Tahoma"/>
          </rPr>
          <t xml:space="preserve">
Explanation:
This row will auto-populate based on the figures you entered in the 'Sales Assumption' tab so there is no need to update these cells.
</t>
        </r>
      </text>
    </comment>
    <comment ref="D24" authorId="11" xr:uid="{3ae576e4-ca1e-55a3-ec97-b3162a9c0046}">
      <text>
        <r>
          <rPr>
            <b/>
            <sz val="9"/>
            <rFont val="Tahoma"/>
          </rPr>
          <t>Comment:</t>
        </r>
        <r>
          <rPr>
            <sz val="9"/>
            <rFont val="Tahoma"/>
          </rPr>
          <t xml:space="preserve">
Explanation:
This row will auto-populate based on the figures you entered in the 'Sales Assumption' tab so there is no need to update these cells.
</t>
        </r>
      </text>
    </comment>
    <comment ref="G24" authorId="12" xr:uid="{ca82f6b1-ebfe-bcc6-0ad2-abf9eed412a1}">
      <text>
        <r>
          <rPr>
            <b/>
            <sz val="9"/>
            <rFont val="Tahoma"/>
          </rPr>
          <t>Comment:</t>
        </r>
        <r>
          <rPr>
            <sz val="9"/>
            <rFont val="Tahoma"/>
          </rPr>
          <t xml:space="preserve">
Explanation:
This row will auto-populate based on the figures you entered in the 'Sales Assumption' tab so there is no need to update these cells.
</t>
        </r>
      </text>
    </comment>
    <comment ref="H24" authorId="13" xr:uid="{0d7b761e-67cd-d103-48b9-6ba9fa5b3974}">
      <text>
        <r>
          <rPr>
            <b/>
            <sz val="9"/>
            <rFont val="Tahoma"/>
          </rPr>
          <t>Comment:</t>
        </r>
        <r>
          <rPr>
            <sz val="9"/>
            <rFont val="Tahoma"/>
          </rPr>
          <t xml:space="preserve">
Explanation:
This row will auto-populate based on the figures you entered in the 'Sales Assumption' tab so there is no need to update these cells.
</t>
        </r>
      </text>
    </comment>
    <comment ref="I24" authorId="14" xr:uid="{fbb78e0e-b469-79dc-21c9-b1051b3ca13e}">
      <text>
        <r>
          <rPr>
            <b/>
            <sz val="9"/>
            <rFont val="Tahoma"/>
          </rPr>
          <t>Comment:</t>
        </r>
        <r>
          <rPr>
            <sz val="9"/>
            <rFont val="Tahoma"/>
          </rPr>
          <t xml:space="preserve">
Explanation:
This row will auto-populate based on the figures you entered in the 'Sales Assumption' tab so there is no need to update these cells.
</t>
        </r>
      </text>
    </comment>
    <comment ref="J24" authorId="15" xr:uid="{3182d2cf-055a-7452-681f-336e0cf3edd5}">
      <text>
        <r>
          <rPr>
            <b/>
            <sz val="9"/>
            <rFont val="Tahoma"/>
          </rPr>
          <t>Comment:</t>
        </r>
        <r>
          <rPr>
            <sz val="9"/>
            <rFont val="Tahoma"/>
          </rPr>
          <t xml:space="preserve">
Explanation:
This row will auto-populate based on the figures you entered in the 'Sales Assumption' tab so there is no need to update these cells.
</t>
        </r>
      </text>
    </comment>
    <comment ref="A26" authorId="16" xr:uid="{e5990929-1305-2dbe-2b28-4c8ac32f72e7}">
      <text>
        <r>
          <rPr>
            <b/>
            <sz val="9"/>
            <rFont val="Tahoma"/>
          </rPr>
          <t>Comment:</t>
        </r>
        <r>
          <rPr>
            <sz val="9"/>
            <rFont val="Tahoma"/>
          </rPr>
          <t xml:space="preserve">
Explanation:
This might be money that you have personally put into the business or money that your business partners, private investors or other individuals have contributed. This could also be money that you have been gifted or inherited.
</t>
        </r>
      </text>
    </comment>
    <comment ref="A27" authorId="17" xr:uid="{38cf6407-3771-fb48-8e62-9033830e9cdb}">
      <text>
        <r>
          <rPr>
            <b/>
            <sz val="9"/>
            <rFont val="Tahoma"/>
          </rPr>
          <t>Comment:</t>
        </r>
        <r>
          <rPr>
            <sz val="9"/>
            <rFont val="Tahoma"/>
          </rPr>
          <t xml:space="preserve">
Explanation:
An asset is an item or resource with value that you own and control and which has the potential to help you generate cash flow, reduce expenses or improve your sales in the future. 
For example, this could be a vehicle, equipment or raw stock that you have purchased to produce your goods and/or services. 
Please note, in order to balance this source of revenue, it will also be automatically reflected in the cash out-flows section of your cash flow forecast down below. That's because any value coming into the business has to have come out of somewhere.
</t>
        </r>
      </text>
    </comment>
    <comment ref="A28" authorId="18" xr:uid="{5caf605a-ebb2-9c14-fb1e-835ef20c1bf4}">
      <text>
        <r>
          <rPr>
            <b/>
            <sz val="9"/>
            <rFont val="Tahoma"/>
          </rPr>
          <t>Comment:</t>
        </r>
        <r>
          <rPr>
            <sz val="9"/>
            <rFont val="Tahoma"/>
          </rPr>
          <t xml:space="preserve">
Explanation:
Use these fields if your business has any other income or cash in-flows that are not covered in the above. 
Provide a description of these items in the next field.
</t>
        </r>
      </text>
    </comment>
    <comment ref="A29" authorId="19" xr:uid="{1559d2dc-baa2-d59f-9ff9-099eafa1bce2}">
      <text>
        <r>
          <rPr>
            <b/>
            <sz val="9"/>
            <rFont val="Tahoma"/>
          </rPr>
          <t>Comment:</t>
        </r>
        <r>
          <rPr>
            <sz val="9"/>
            <rFont val="Tahoma"/>
          </rPr>
          <t xml:space="preserve">
Explanation:
Use these fields if your business has any other income or cash in-flows that are not covered in the above. 
Provide a description of these items in the next field.
</t>
        </r>
      </text>
    </comment>
    <comment ref="A30" authorId="20" xr:uid="{62661412-6e4d-5f67-cfcb-58834a1f4a39}">
      <text>
        <r>
          <rPr>
            <b/>
            <sz val="9"/>
            <rFont val="Tahoma"/>
          </rPr>
          <t>Comment:</t>
        </r>
        <r>
          <rPr>
            <sz val="9"/>
            <rFont val="Tahoma"/>
          </rPr>
          <t xml:space="preserve">
Explanation:
Use these fields if your business has any other income or cash in-flows that are not covered in the above. 
Provide a description of these items in the next field.
</t>
        </r>
      </text>
    </comment>
    <comment ref="A31" authorId="21" xr:uid="{5afdfb06-e9b9-ab1c-97bd-9e698185e3d1}">
      <text>
        <r>
          <rPr>
            <b/>
            <sz val="9"/>
            <rFont val="Tahoma"/>
          </rPr>
          <t>Comment:</t>
        </r>
        <r>
          <rPr>
            <sz val="9"/>
            <rFont val="Tahoma"/>
          </rPr>
          <t xml:space="preserve">
Explanation:
Use these fields if your business has any other income or cash in-flows that are not covered in the above. 
Provide a description of these items in the next field.
</t>
        </r>
      </text>
    </comment>
    <comment ref="A32" authorId="22" xr:uid="{1a016af7-264a-8326-9d49-8d2a0adfbead}">
      <text>
        <r>
          <rPr>
            <b/>
            <sz val="9"/>
            <rFont val="Tahoma"/>
          </rPr>
          <t>Comment:</t>
        </r>
        <r>
          <rPr>
            <sz val="9"/>
            <rFont val="Tahoma"/>
          </rPr>
          <t xml:space="preserve">
Explanation:
Use these fields if your business has any other income or cash in-flows that are not covered in the above. 
Provide a description of these items in the next field.
</t>
        </r>
      </text>
    </comment>
    <comment ref="A33" authorId="23" xr:uid="{446e22c4-2eda-d01d-32c0-5bf5e2063d70}">
      <text>
        <r>
          <rPr>
            <b/>
            <sz val="9"/>
            <rFont val="Tahoma"/>
          </rPr>
          <t>Comment:</t>
        </r>
        <r>
          <rPr>
            <sz val="9"/>
            <rFont val="Tahoma"/>
          </rPr>
          <t xml:space="preserve">
Explanation:
Use these fields if your business has any other income or cash in-flows that are not covered in the above. 
Provide a description of these items in the next field.
</t>
        </r>
      </text>
    </comment>
    <comment ref="A34" authorId="24" xr:uid="{ae850658-0f17-3c29-d172-e8afe9b4837e}">
      <text>
        <r>
          <rPr>
            <b/>
            <sz val="9"/>
            <rFont val="Tahoma"/>
          </rPr>
          <t>Comment:</t>
        </r>
        <r>
          <rPr>
            <sz val="9"/>
            <rFont val="Tahoma"/>
          </rPr>
          <t xml:space="preserve">
Explanation:
Use these fields if your business has any other income or cash in-flows that are not covered in the above. 
Provide a description of these items in the next field.
</t>
        </r>
      </text>
    </comment>
    <comment ref="A35" authorId="25" xr:uid="{73265cac-29c5-69dd-3c45-0292a3a478ce}">
      <text>
        <r>
          <rPr>
            <b/>
            <sz val="9"/>
            <rFont val="Tahoma"/>
          </rPr>
          <t>Comment:</t>
        </r>
        <r>
          <rPr>
            <sz val="9"/>
            <rFont val="Tahoma"/>
          </rPr>
          <t xml:space="preserve">
Explanation:
Your total cash in-flow is made up of all your individual sources of revenue added together.
</t>
        </r>
      </text>
    </comment>
    <comment ref="A39" authorId="26" xr:uid="{ac3d8698-9b3d-e95e-ea6c-134758a61ed8}">
      <text>
        <r>
          <rPr>
            <b/>
            <sz val="9"/>
            <rFont val="Tahoma"/>
          </rPr>
          <t>Comment:</t>
        </r>
        <r>
          <rPr>
            <sz val="9"/>
            <rFont val="Tahoma"/>
          </rPr>
          <t xml:space="preserve">
Explanation:
This is where you list any of the costs your business incurs, how frequently it incurs them and when these costs will take place. 
The number of items you include will depend on your business model.
If any of the pre-listed items are not relevant to your business, simply mark '0' in in the value field; and equally, if there are any items missing from the list, you can add them in the free fields at the bottom of the table.
</t>
        </r>
      </text>
    </comment>
    <comment ref="B39" authorId="27" xr:uid="{1637cc03-32bd-a4be-7eea-98b3d3b9235f}">
      <text>
        <r>
          <rPr>
            <b/>
            <sz val="9"/>
            <rFont val="Tahoma"/>
          </rPr>
          <t>Comment:</t>
        </r>
        <r>
          <rPr>
            <sz val="9"/>
            <rFont val="Tahoma"/>
          </rPr>
          <t xml:space="preserve">
Explanation:
Add a brief description for any items to help your Business Adviser understand each cash out-flow.
</t>
        </r>
      </text>
    </comment>
    <comment ref="P39" authorId="28" xr:uid="{aaed5316-baa9-6a6d-4652-32c815638106}">
      <text>
        <r>
          <rPr>
            <b/>
            <sz val="9"/>
            <rFont val="Tahoma"/>
          </rPr>
          <t>Comment:</t>
        </r>
        <r>
          <rPr>
            <sz val="9"/>
            <rFont val="Tahoma"/>
          </rPr>
          <t xml:space="preserve">
Explanation:
This column will give you the 12-month total for each of your cash out-flows.
</t>
        </r>
      </text>
    </comment>
    <comment ref="C39" authorId="29" xr:uid="{5855cac1-58d0-ab89-3415-d090ad9d2ba4}">
      <text>
        <r>
          <rPr>
            <b/>
            <sz val="9"/>
            <rFont val="Tahoma"/>
          </rPr>
          <t>Comment:</t>
        </r>
        <r>
          <rPr>
            <sz val="9"/>
            <rFont val="Tahoma"/>
          </rPr>
          <t xml:space="preserve">
Explanation:
Enter any expenses that you have prior to starting your 12-month forecast in this column. Leave it blank if this does not apply to some/any of your items.
</t>
        </r>
      </text>
    </comment>
    <comment ref="A40" authorId="30" xr:uid="{f01c77f3-bede-b77e-7b53-84a0a9f23036}">
      <text>
        <r>
          <rPr>
            <b/>
            <sz val="9"/>
            <rFont val="Tahoma"/>
          </rPr>
          <t>Comment:</t>
        </r>
        <r>
          <rPr>
            <sz val="9"/>
            <rFont val="Tahoma"/>
          </rPr>
          <t xml:space="preserve">
Explanation:
This is costs you expect to incur in order to produce all of your anticipated sales for the next 12-months. 
This row will auto-populate based on the figures you entered in the 'Sales Assumption' tab so there is no need to update these cells.
</t>
        </r>
      </text>
    </comment>
    <comment ref="K40" authorId="31" xr:uid="{2ed74b0b-3d71-2cc8-626d-b729ca96166b}">
      <text>
        <r>
          <rPr>
            <b/>
            <sz val="9"/>
            <rFont val="Tahoma"/>
          </rPr>
          <t>Comment:</t>
        </r>
        <r>
          <rPr>
            <sz val="9"/>
            <rFont val="Tahoma"/>
          </rPr>
          <t xml:space="preserve">
Explanation:
This row will auto-populate based on the figures you entered in the 'Sales Assumption' tab so there is no need to update these cells.
</t>
        </r>
      </text>
    </comment>
    <comment ref="L40" authorId="32" xr:uid="{8417ebe6-7ea4-4304-6f96-e87b7b4e0b43}">
      <text>
        <r>
          <rPr>
            <b/>
            <sz val="9"/>
            <rFont val="Tahoma"/>
          </rPr>
          <t>Comment:</t>
        </r>
        <r>
          <rPr>
            <sz val="9"/>
            <rFont val="Tahoma"/>
          </rPr>
          <t xml:space="preserve">
Explanation:
This row will auto-populate based on the figures you entered in the 'Sales Assumption' tab so there is no need to update these cells.
</t>
        </r>
      </text>
    </comment>
    <comment ref="M40" authorId="33" xr:uid="{53ff781a-2a83-ceb6-a0a7-06f3fc9e3ffd}">
      <text>
        <r>
          <rPr>
            <b/>
            <sz val="9"/>
            <rFont val="Tahoma"/>
          </rPr>
          <t>Comment:</t>
        </r>
        <r>
          <rPr>
            <sz val="9"/>
            <rFont val="Tahoma"/>
          </rPr>
          <t xml:space="preserve">
Explanation:
This row will auto-populate based on the figures you entered in the 'Sales Assumption' tab so there is no need to update these cells.
</t>
        </r>
      </text>
    </comment>
    <comment ref="N40" authorId="34" xr:uid="{f5220219-14c2-7a7f-380e-14538249b9ab}">
      <text>
        <r>
          <rPr>
            <b/>
            <sz val="9"/>
            <rFont val="Tahoma"/>
          </rPr>
          <t>Comment:</t>
        </r>
        <r>
          <rPr>
            <sz val="9"/>
            <rFont val="Tahoma"/>
          </rPr>
          <t xml:space="preserve">
Explanation:
This row will auto-populate based on the figures you entered in the 'Sales Assumption' tab so there is no need to update these cells.
</t>
        </r>
      </text>
    </comment>
    <comment ref="O40" authorId="35" xr:uid="{3aeab38a-d7b4-e210-e230-cfab656d48bc}">
      <text>
        <r>
          <rPr>
            <b/>
            <sz val="9"/>
            <rFont val="Tahoma"/>
          </rPr>
          <t>Comment:</t>
        </r>
        <r>
          <rPr>
            <sz val="9"/>
            <rFont val="Tahoma"/>
          </rPr>
          <t xml:space="preserve">
Explanation:
This row will auto-populate based on the figures you entered in the 'Sales Assumption' tab so there is no need to update these cells.
</t>
        </r>
      </text>
    </comment>
    <comment ref="D40" authorId="36" xr:uid="{5b2d23fe-34dc-be59-9656-f43d8adc2074}">
      <text>
        <r>
          <rPr>
            <b/>
            <sz val="9"/>
            <rFont val="Tahoma"/>
          </rPr>
          <t>Comment:</t>
        </r>
        <r>
          <rPr>
            <sz val="9"/>
            <rFont val="Tahoma"/>
          </rPr>
          <t xml:space="preserve">
Explanation:
This row will auto-populate based on the figures you entered in the 'Sales Assumption' tab so there is no need to update these cells.
</t>
        </r>
      </text>
    </comment>
    <comment ref="E40" authorId="37" xr:uid="{6df50f23-655e-5df7-16ad-befdd0bc96e1}">
      <text>
        <r>
          <rPr>
            <b/>
            <sz val="9"/>
            <rFont val="Tahoma"/>
          </rPr>
          <t>Comment:</t>
        </r>
        <r>
          <rPr>
            <sz val="9"/>
            <rFont val="Tahoma"/>
          </rPr>
          <t xml:space="preserve">
Explanation:
This row will auto-populate based on the figures you entered in the 'Sales Assumption' tab so there is no need to update these cells.
</t>
        </r>
      </text>
    </comment>
    <comment ref="F40" authorId="38" xr:uid="{ae2bba9e-dc11-722d-c83a-2b12b5c4f6a8}">
      <text>
        <r>
          <rPr>
            <b/>
            <sz val="9"/>
            <rFont val="Tahoma"/>
          </rPr>
          <t>Comment:</t>
        </r>
        <r>
          <rPr>
            <sz val="9"/>
            <rFont val="Tahoma"/>
          </rPr>
          <t xml:space="preserve">
Explanation:
This row will auto-populate based on the figures you entered in the 'Sales Assumption' tab so there is no need to update these cells.
</t>
        </r>
      </text>
    </comment>
    <comment ref="G40" authorId="39" xr:uid="{c51ffbb3-ee99-6a9b-f5f0-d0917c62837a}">
      <text>
        <r>
          <rPr>
            <b/>
            <sz val="9"/>
            <rFont val="Tahoma"/>
          </rPr>
          <t>Comment:</t>
        </r>
        <r>
          <rPr>
            <sz val="9"/>
            <rFont val="Tahoma"/>
          </rPr>
          <t xml:space="preserve">
Explanation:
This row will auto-populate based on the figures you entered in the 'Sales Assumption' tab so there is no need to update these cells.
</t>
        </r>
      </text>
    </comment>
    <comment ref="H40" authorId="40" xr:uid="{e1dcf7b9-90b3-b661-1de8-3b67359c5c7d}">
      <text>
        <r>
          <rPr>
            <b/>
            <sz val="9"/>
            <rFont val="Tahoma"/>
          </rPr>
          <t>Comment:</t>
        </r>
        <r>
          <rPr>
            <sz val="9"/>
            <rFont val="Tahoma"/>
          </rPr>
          <t xml:space="preserve">
Explanation:
This row will auto-populate based on the figures you entered in the 'Sales Assumption' tab so there is no need to update these cells.
</t>
        </r>
      </text>
    </comment>
    <comment ref="I40" authorId="41" xr:uid="{df1bac1b-7e7f-abcb-a67c-0d1077507e9d}">
      <text>
        <r>
          <rPr>
            <b/>
            <sz val="9"/>
            <rFont val="Tahoma"/>
          </rPr>
          <t>Comment:</t>
        </r>
        <r>
          <rPr>
            <sz val="9"/>
            <rFont val="Tahoma"/>
          </rPr>
          <t xml:space="preserve">
Explanation:
This row will auto-populate based on the figures you entered in the 'Sales Assumption' tab so there is no need to update these cells.
</t>
        </r>
      </text>
    </comment>
    <comment ref="J40" authorId="42" xr:uid="{2e42492d-90b7-6953-d2d3-8319d4a91e88}">
      <text>
        <r>
          <rPr>
            <b/>
            <sz val="9"/>
            <rFont val="Tahoma"/>
          </rPr>
          <t>Comment:</t>
        </r>
        <r>
          <rPr>
            <sz val="9"/>
            <rFont val="Tahoma"/>
          </rPr>
          <t xml:space="preserve">
Explanation:
This row will auto-populate based on the figures you entered in the 'Sales Assumption' tab so there is no need to update these cells.
</t>
        </r>
      </text>
    </comment>
    <comment ref="A41" authorId="43" xr:uid="{104227df-22ef-c507-2eb9-53fac1bc6b74}">
      <text>
        <r>
          <rPr>
            <b/>
            <sz val="9"/>
            <rFont val="Tahoma"/>
          </rPr>
          <t>Comment:</t>
        </r>
        <r>
          <rPr>
            <sz val="9"/>
            <rFont val="Tahoma"/>
          </rPr>
          <t xml:space="preserve">
Explanation:
Any assets or resources with value that you own and control and have the potential to help you generate cash flow, reduce expenses or improve your sales in the future need to be reflected in both your cash in-flows and cash-out flows. 
The first cell in this row (highlighted in green) is automatically populated based on what you entered in the cash in-flows section above. 
</t>
        </r>
      </text>
    </comment>
    <comment ref="C41" authorId="44" xr:uid="{a6932d2a-b3dd-d894-6c88-b67b25f9cf9a}">
      <text>
        <r>
          <rPr>
            <b/>
            <sz val="9"/>
            <rFont val="Tahoma"/>
          </rPr>
          <t>Comment:</t>
        </r>
        <r>
          <rPr>
            <sz val="9"/>
            <rFont val="Tahoma"/>
          </rPr>
          <t xml:space="preserve">
Explanation:
This is automatically populated based on the total amount of existing assets you declared above in order to balance your books.
</t>
        </r>
      </text>
    </comment>
    <comment ref="A42" authorId="45" xr:uid="{6809d84c-d9c6-40b0-67fb-05262d615d77}">
      <text>
        <r>
          <rPr>
            <b/>
            <sz val="9"/>
            <rFont val="Tahoma"/>
          </rPr>
          <t>Comment:</t>
        </r>
        <r>
          <rPr>
            <sz val="9"/>
            <rFont val="Tahoma"/>
          </rPr>
          <t xml:space="preserve">
Explanation:
You may be leasing your own venue, paying a membership fee to a hotdesking work hub, or working in a retail space. What cost do you incur to do this each month?
</t>
        </r>
      </text>
    </comment>
    <comment ref="A43" authorId="46" xr:uid="{3bb02673-9ce8-c793-0c70-61be9881bcdf}">
      <text>
        <r>
          <rPr>
            <b/>
            <sz val="9"/>
            <rFont val="Tahoma"/>
          </rPr>
          <t>Comment:</t>
        </r>
        <r>
          <rPr>
            <sz val="9"/>
            <rFont val="Tahoma"/>
          </rPr>
          <t xml:space="preserve">
Explanation:
If you have a business premises or work from a home office, then it is likely that you are or will in future have to pay business rates to your local council.
Check with your Local Authority if you're not sure.
</t>
        </r>
      </text>
    </comment>
    <comment ref="A44" authorId="47" xr:uid="{abaebfe0-7556-6190-cf03-a4b8ea0839b7}">
      <text>
        <r>
          <rPr>
            <b/>
            <sz val="9"/>
            <rFont val="Tahoma"/>
          </rPr>
          <t>Comment:</t>
        </r>
        <r>
          <rPr>
            <sz val="9"/>
            <rFont val="Tahoma"/>
          </rPr>
          <t xml:space="preserve">
Explanation:
You can group all of your utilities together into one monthly line item. 
This might include things like your gas, electricity or water payments you make for your business. 
If you work from your home office, you may be entitled to charge a portion of your utilities expenses against the business.
</t>
        </r>
      </text>
    </comment>
    <comment ref="A45" authorId="48" xr:uid="{a2bdd411-2cbf-30eb-a448-a0dd5b228658}">
      <text>
        <r>
          <rPr>
            <b/>
            <sz val="9"/>
            <rFont val="Tahoma"/>
          </rPr>
          <t>Comment:</t>
        </r>
        <r>
          <rPr>
            <sz val="9"/>
            <rFont val="Tahoma"/>
          </rPr>
          <t xml:space="preserve">
Explanation:
If you haven't already, it is important to consider business insurance to cover you for any range of circumstances that may emerge that are out of your control.
This could be anything from premises, stock or equipment insurance to personal or employee liability insurance.
</t>
        </r>
      </text>
    </comment>
    <comment ref="A46" authorId="49" xr:uid="{9c7d0011-60bd-79df-8a1a-91403ef77edc}">
      <text>
        <r>
          <rPr>
            <b/>
            <sz val="9"/>
            <rFont val="Tahoma"/>
          </rPr>
          <t>Comment:</t>
        </r>
        <r>
          <rPr>
            <sz val="9"/>
            <rFont val="Tahoma"/>
          </rPr>
          <t xml:space="preserve">
Explanation:
Telephone and internet access is likely to be essential for almost every business type. 
Think about all the costs you currently incur or will incur in the next 12-months for this line item across your business, including the cost for each individual staff member if relevant.
</t>
        </r>
      </text>
    </comment>
    <comment ref="A47" authorId="50" xr:uid="{5210a8ae-646e-e94a-4779-985a3280ac02}">
      <text>
        <r>
          <rPr>
            <b/>
            <sz val="9"/>
            <rFont val="Tahoma"/>
          </rPr>
          <t>Comment:</t>
        </r>
        <r>
          <rPr>
            <sz val="9"/>
            <rFont val="Tahoma"/>
          </rPr>
          <t xml:space="preserve">
Explanation:
Think about what you have detailed in your business plan. What are the regular marketing and advertising costs that you incur to promote your business and drive sales? 
</t>
        </r>
      </text>
    </comment>
    <comment ref="A48" authorId="51" xr:uid="{b4026a48-5250-6578-aa06-07446ec6894c}">
      <text>
        <r>
          <rPr>
            <b/>
            <sz val="9"/>
            <rFont val="Tahoma"/>
          </rPr>
          <t>Comment:</t>
        </r>
        <r>
          <rPr>
            <sz val="9"/>
            <rFont val="Tahoma"/>
          </rPr>
          <t xml:space="preserve">
Explanation:
If you use a vehicle to operate your business, how much do you spend each month on fuel, insurance, registration, repairs?
</t>
        </r>
      </text>
    </comment>
    <comment ref="A49" authorId="52" xr:uid="{35fc713c-c9c5-c0a5-a9a4-9b7a6d70bfc5}">
      <text>
        <r>
          <rPr>
            <b/>
            <sz val="9"/>
            <rFont val="Tahoma"/>
          </rPr>
          <t>Comment:</t>
        </r>
        <r>
          <rPr>
            <sz val="9"/>
            <rFont val="Tahoma"/>
          </rPr>
          <t xml:space="preserve">
Explanation:
This is the cost of purchasing or leasing equipment to produce your product(s) and/or service(s), or the use of software to support you in delivering your product(s) and/or service(s).
</t>
        </r>
      </text>
    </comment>
    <comment ref="A50" authorId="53" xr:uid="{72b4233f-9e08-bb03-b475-099470f1e367}">
      <text>
        <r>
          <rPr>
            <b/>
            <sz val="9"/>
            <rFont val="Tahoma"/>
          </rPr>
          <t>Comment:</t>
        </r>
        <r>
          <rPr>
            <sz val="9"/>
            <rFont val="Tahoma"/>
          </rPr>
          <t xml:space="preserve">
Explanation:
Every business incurs administrative costs, whether it is postage stamps to send out your product(s) and/or service(s), stationery products for you and your team, or printing facilities.
</t>
        </r>
      </text>
    </comment>
    <comment ref="A51" authorId="54" xr:uid="{0e8e5db2-bb19-7969-3f4f-949488887d52}">
      <text>
        <r>
          <rPr>
            <b/>
            <sz val="9"/>
            <rFont val="Tahoma"/>
          </rPr>
          <t>Comment:</t>
        </r>
        <r>
          <rPr>
            <sz val="9"/>
            <rFont val="Tahoma"/>
          </rPr>
          <t xml:space="preserve">
Explanation:
If you run a product based business then you may incur monthly fees for transport and delivery of your goods.
</t>
        </r>
      </text>
    </comment>
    <comment ref="A52" authorId="55" xr:uid="{bcd66f2e-18c5-8f5e-e055-aa7f412fb090}">
      <text>
        <r>
          <rPr>
            <b/>
            <sz val="9"/>
            <rFont val="Tahoma"/>
          </rPr>
          <t>Comment:</t>
        </r>
        <r>
          <rPr>
            <sz val="9"/>
            <rFont val="Tahoma"/>
          </rPr>
          <t xml:space="preserve">
Explanation:
Think about any professional services you need to use in order to manage your business. This might be on a retainer or ad-hoc basis.
For example, a lawyer, accountant, designer or marketing consultant.
</t>
        </r>
      </text>
    </comment>
    <comment ref="A53" authorId="56" xr:uid="{7f51f8d1-c8f0-a84d-f9a8-74a8b5aa15c3}">
      <text>
        <r>
          <rPr>
            <b/>
            <sz val="9"/>
            <rFont val="Tahoma"/>
          </rPr>
          <t>Comment:</t>
        </r>
        <r>
          <rPr>
            <sz val="9"/>
            <rFont val="Tahoma"/>
          </rPr>
          <t xml:space="preserve">
Explanation:
These cells are designed to auto-populate based on the responses in your Personal Survival Budget (PSB). It will only display figures if your PSB is in deficit, as this means you will require you will need to take more from the business each month in order to meet your personal expenses. 
If your PSB  is in surplus, then these cells will stay blank as this means you are already meeting your personal expenses every month without drawing additional money from your business.
To see whether your PSB is in surplus or deficit, go to the Personal Survival Budget tab and see the final row entitled 'Your monthly balance'.
If you haven't completed your PSB yet, then this will remain blank until you do.
</t>
        </r>
      </text>
    </comment>
    <comment ref="D53" authorId="57" xr:uid="{79bf3859-14e7-106a-bacb-6b94fe278f8b}">
      <text>
        <r>
          <rPr>
            <b/>
            <sz val="9"/>
            <rFont val="Tahoma"/>
          </rPr>
          <t>Comment:</t>
        </r>
        <r>
          <rPr>
            <sz val="9"/>
            <rFont val="Tahoma"/>
          </rPr>
          <t xml:space="preserve">
Explanation:
These cells are designed to auto-populate based on the responses in your Personal Survival Budget (PSB). It will only display figures if your PSB is in deficit, as this means you will require you will need to take more from the business each month in order to meet your personal expenses. 
If your PSB  is in surplus, then these cells will stay blank as this means you are already meeting your personal expenses every month without drawing additional money from your business.
To see whether your PSB is in surplus or deficit, go to the Personal Survival Budget tab and see the final row entitled 'Your monthly balance'.
If you haven't completed your Personal Survival Budget yet, then this will remain blank until you do.
</t>
        </r>
      </text>
    </comment>
    <comment ref="A54" authorId="58" xr:uid="{b5f35f55-2424-b548-b367-622dcf753a3e}">
      <text>
        <r>
          <rPr>
            <b/>
            <sz val="9"/>
            <rFont val="Tahoma"/>
          </rPr>
          <t>Comment:</t>
        </r>
        <r>
          <rPr>
            <sz val="9"/>
            <rFont val="Tahoma"/>
          </rPr>
          <t xml:space="preserve">
Explanation:
This is for any additional money you would like to take from the business as your salary, above and beyond your Personal Survival Budget (PSB) needs. 
For example, if your PSB is currently in surplus (you already have enough money to meet your personal expenses) but you would like to take a further £200 for yourself from the business each month, then this should be added in here.
</t>
        </r>
      </text>
    </comment>
    <comment ref="A55" authorId="59" xr:uid="{9d66f356-3ca5-c191-8a99-35a53de775ec}">
      <text>
        <r>
          <rPr>
            <b/>
            <sz val="9"/>
            <rFont val="Tahoma"/>
          </rPr>
          <t>Comment:</t>
        </r>
        <r>
          <rPr>
            <sz val="9"/>
            <rFont val="Tahoma"/>
          </rPr>
          <t xml:space="preserve">
Explanation:
If you hire staff, whether full time or part time, then this is where you can reflect the amount of money you spend each month on staff salaries, national insurance contributions and staff pensions etc.
</t>
        </r>
      </text>
    </comment>
    <comment ref="A56" authorId="60" xr:uid="{baa9df04-efd9-7be4-c5c9-2b1a18f98aae}">
      <text>
        <r>
          <rPr>
            <b/>
            <sz val="9"/>
            <rFont val="Tahoma"/>
          </rPr>
          <t>Comment:</t>
        </r>
        <r>
          <rPr>
            <sz val="9"/>
            <rFont val="Tahoma"/>
          </rPr>
          <t xml:space="preserve">
Explanation:
This should be the monthly amount you pay for your Start Up Loan.
</t>
        </r>
      </text>
    </comment>
    <comment ref="A58" authorId="61" xr:uid="{f6502e8f-2091-03e3-6e3b-d3ee4ee2b584}">
      <text>
        <r>
          <rPr>
            <b/>
            <sz val="9"/>
            <rFont val="Tahoma"/>
          </rPr>
          <t>Comment:</t>
        </r>
        <r>
          <rPr>
            <sz val="9"/>
            <rFont val="Tahoma"/>
          </rPr>
          <t xml:space="preserve">
Explanation:
Use these fields if your business has any other expenses or cash out-flows that are not covered in the above. 
Provide a description of these items in the next field.
</t>
        </r>
      </text>
    </comment>
    <comment ref="A59" authorId="62" xr:uid="{20ea3103-cf0f-3469-a596-ee8da6370d8c}">
      <text>
        <r>
          <rPr>
            <b/>
            <sz val="9"/>
            <rFont val="Tahoma"/>
          </rPr>
          <t>Comment:</t>
        </r>
        <r>
          <rPr>
            <sz val="9"/>
            <rFont val="Tahoma"/>
          </rPr>
          <t xml:space="preserve">
Explanation:
Use these fields if your business has any other expenses or cash out-flows that are not covered in the above. 
Provide a description of these items in the next field.
</t>
        </r>
      </text>
    </comment>
    <comment ref="A60" authorId="63" xr:uid="{d895b3cd-2bcd-1ed4-1036-eaaca1b3783d}">
      <text>
        <r>
          <rPr>
            <b/>
            <sz val="9"/>
            <rFont val="Tahoma"/>
          </rPr>
          <t>Comment:</t>
        </r>
        <r>
          <rPr>
            <sz val="9"/>
            <rFont val="Tahoma"/>
          </rPr>
          <t xml:space="preserve">
Explanation:
Use these fields if your business has any other expenses or cash out-flows that are not covered in the above. 
Provide a description of these items in the next field.
</t>
        </r>
      </text>
    </comment>
    <comment ref="A61" authorId="64" xr:uid="{6324958d-5d3f-fae7-c89f-3fc4bbc1ffda}">
      <text>
        <r>
          <rPr>
            <b/>
            <sz val="9"/>
            <rFont val="Tahoma"/>
          </rPr>
          <t>Comment:</t>
        </r>
        <r>
          <rPr>
            <sz val="9"/>
            <rFont val="Tahoma"/>
          </rPr>
          <t xml:space="preserve">
Explanation:
Use these fields if your business has any other expenses or cash out-flows that are not covered in the above. 
Provide a description of these items in the next field.
</t>
        </r>
      </text>
    </comment>
    <comment ref="A62" authorId="65" xr:uid="{c52f62ad-2dd7-aec6-0e55-80e9af53b1f9}">
      <text>
        <r>
          <rPr>
            <b/>
            <sz val="9"/>
            <rFont val="Tahoma"/>
          </rPr>
          <t>Comment:</t>
        </r>
        <r>
          <rPr>
            <sz val="9"/>
            <rFont val="Tahoma"/>
          </rPr>
          <t xml:space="preserve">
Explanation:
Use these fields if your business has any other expenses or cash out-flows that are not covered in the above. 
Provide a description of these items in the next field.
</t>
        </r>
      </text>
    </comment>
    <comment ref="A63" authorId="66" xr:uid="{d428a997-f208-389a-09cd-7381a0844d47}">
      <text>
        <r>
          <rPr>
            <b/>
            <sz val="9"/>
            <rFont val="Tahoma"/>
          </rPr>
          <t>Comment:</t>
        </r>
        <r>
          <rPr>
            <sz val="9"/>
            <rFont val="Tahoma"/>
          </rPr>
          <t xml:space="preserve">
Explanation:
Your total cash out-flow is made up of all your expenses added together.
</t>
        </r>
      </text>
    </comment>
    <comment ref="B65" authorId="67" xr:uid="{770b60d9-d001-5d79-1b4d-a6f623dcd238}">
      <text>
        <r>
          <rPr>
            <b/>
            <sz val="9"/>
            <rFont val="Tahoma"/>
          </rPr>
          <t>Comment:</t>
        </r>
        <r>
          <rPr>
            <sz val="9"/>
            <rFont val="Tahoma"/>
          </rPr>
          <t xml:space="preserve">
Explanation:
Your net cash flow tells you the difference between what is coming in and what is going out of your business on a monthly basis.
</t>
        </r>
      </text>
    </comment>
    <comment ref="B67" authorId="68" xr:uid="{05a2c7ac-cc92-dbe1-c98b-9e0ad6f89599}">
      <text>
        <r>
          <rPr>
            <b/>
            <sz val="9"/>
            <rFont val="Tahoma"/>
          </rPr>
          <t>Comment:</t>
        </r>
        <r>
          <rPr>
            <sz val="9"/>
            <rFont val="Tahoma"/>
          </rPr>
          <t xml:space="preserve">
Explanation:
This is the amount of money that you have available for your business at the start of each month. You'll see this number will auto-update for each month, based on the previous months' cash flow. 
</t>
        </r>
      </text>
    </comment>
    <comment ref="B69" authorId="69" xr:uid="{46c23f41-f179-4967-070f-530d995ea988}">
      <text>
        <r>
          <rPr>
            <b/>
            <sz val="9"/>
            <rFont val="Tahoma"/>
          </rPr>
          <t>Comment:</t>
        </r>
        <r>
          <rPr>
            <sz val="9"/>
            <rFont val="Tahoma"/>
          </rPr>
          <t xml:space="preserve">
Explanation:
This is your anticipated financial position at the end of each month, once you have brought in all your revenue, paid all your expenses and balanced your books. 
This figure is calculated by adding together whatever money is recorded in your net cash flow for a particular month with the opening balance at the start of that month.
</t>
        </r>
      </text>
    </comment>
    <comment ref="B76" authorId="70" xr:uid="{f0e94bc5-6fe1-2ab8-14f8-d84e8a63ff88}">
      <text>
        <r>
          <rPr>
            <b/>
            <sz val="9"/>
            <rFont val="Tahoma"/>
          </rPr>
          <t>Comment:</t>
        </r>
        <r>
          <rPr>
            <sz val="9"/>
            <rFont val="Tahoma"/>
          </rPr>
          <t xml:space="preserve">
Explanation:
This is a good place to write any notes that you want your Business Adviser to take into account when reviewing your Cash Flow Forecast.
This might be if something needs further explanation or if you want to more clearly reference a figure back to something in your Business Plan.
</t>
        </r>
      </text>
    </comment>
  </commentList>
</comments>
</file>

<file path=xl/sharedStrings.xml><?xml version="1.0" encoding="utf-8"?>
<sst xmlns="http://schemas.openxmlformats.org/spreadsheetml/2006/main" count="58" uniqueCount="58">
  <si>
    <t xml:space="preserve">12-Month Cash Flow Forecast</t>
  </si>
  <si>
    <t>Name:</t>
  </si>
  <si>
    <t xml:space="preserve">Company Name:</t>
  </si>
  <si>
    <r>
      <rPr>
        <b/>
        <sz val="11"/>
        <color rgb="FF002060"/>
        <rFont val="Arial"/>
      </rPr>
      <t xml:space="preserve">Your Cash Flow Forecast (CFF) is an estimate of the money you expect to bring in to and pay out of your business over the next 12-months. Importantly, it should reflect all of the activity you have described in your Business Plan.  
</t>
    </r>
    <r>
      <rPr>
        <sz val="11"/>
        <color rgb="FF002060"/>
        <rFont val="Arial"/>
      </rPr>
      <t xml:space="preserve"> - Your CFF should show BUSINESS revenue and expenses only, not personal items;
 - Your CFF is FORWARD looking, reflecting future anticipated transactions into and out of your business;
 - You can input your loan amount and the term length (12-60months), which will autocalculate onto the CFF below;											
 - You will be asked to choose a start month for your CFF; this should be the next month after you expect to receive the loan and should match up with the month you selected in your Sales Assumptions;
 - Remember, some of the information that you have created in your Sales Assumptions will auto-populate in your CFF tab. These cells are blue and you do not need to edit them;
 - Any assumptions you make regarding your cash in-flows and cash out-flows should be both realistic and supportable. If you're starting a new business, we suggest being conservative with the cash flows you enter for the early months of trading;
 - It's important that your CFF corresponds with all of the objectives and activities you have outlined in your Business Plan. For example, if you have detailed plans for a three-month marketing campaign in your Business Plan then the costs for running this campaign should be clearly visible in your CFF;
 - Your CFF is based on a future estimate and while these figures will no doubt change over that trading period, it is a good amount of time for you - and us - to see how sustainable your plans are;
 - There is a commentary box at the bottom, for which you can use to explain any of costings, which you think will be of use to your Business Adviser	</t>
    </r>
  </si>
  <si>
    <t>Key:</t>
  </si>
  <si>
    <t xml:space="preserve">These cells auto-calculate - you don't need to edit these.</t>
  </si>
  <si>
    <t xml:space="preserve">Insert your own text/numbers into these cells as relevant.</t>
  </si>
  <si>
    <t xml:space="preserve">Loan amount</t>
  </si>
  <si>
    <t xml:space="preserve">Interest rate</t>
  </si>
  <si>
    <t xml:space="preserve">Loan term (months)</t>
  </si>
  <si>
    <t xml:space="preserve">Monthly repayment</t>
  </si>
  <si>
    <t xml:space="preserve">Select your starting month:</t>
  </si>
  <si>
    <t>May</t>
  </si>
  <si>
    <t>MONTHS</t>
  </si>
  <si>
    <t xml:space="preserve">Cash in-flows</t>
  </si>
  <si>
    <t xml:space="preserve">Description (as required)</t>
  </si>
  <si>
    <t xml:space="preserve">Starting point</t>
  </si>
  <si>
    <t>TOTAL</t>
  </si>
  <si>
    <t xml:space="preserve">Total anticipated sales</t>
  </si>
  <si>
    <t xml:space="preserve">Value of your Start Up Loan</t>
  </si>
  <si>
    <t>n/a</t>
  </si>
  <si>
    <t xml:space="preserve">Other sources of cash or equity</t>
  </si>
  <si>
    <t xml:space="preserve">Existing assets for business purposes</t>
  </si>
  <si>
    <t xml:space="preserve">App sales</t>
  </si>
  <si>
    <t xml:space="preserve">Enter other</t>
  </si>
  <si>
    <t xml:space="preserve">Total cash in-flows (A)</t>
  </si>
  <si>
    <t xml:space="preserve">Cash out-flows</t>
  </si>
  <si>
    <t xml:space="preserve">Total anticipated cost of sales</t>
  </si>
  <si>
    <t xml:space="preserve">Rent or premises costs</t>
  </si>
  <si>
    <t xml:space="preserve">Business rates for your business premises</t>
  </si>
  <si>
    <t xml:space="preserve">Utilities (gas, electricity, water)</t>
  </si>
  <si>
    <t>Insurance</t>
  </si>
  <si>
    <t xml:space="preserve">Telephone and internet</t>
  </si>
  <si>
    <t xml:space="preserve">Marketing and advertising expenses</t>
  </si>
  <si>
    <t xml:space="preserve">Vehicle running costs</t>
  </si>
  <si>
    <t xml:space="preserve">Equipment purchase or leasing</t>
  </si>
  <si>
    <t xml:space="preserve">Postage, printing, stationery</t>
  </si>
  <si>
    <t xml:space="preserve">Transport and delivery</t>
  </si>
  <si>
    <t xml:space="preserve">Professional fees (legal, accounting etc.)</t>
  </si>
  <si>
    <t xml:space="preserve">Your salary (if PSB is in deficit)*</t>
  </si>
  <si>
    <t xml:space="preserve">Your salary (over and above your PSB needs)*</t>
  </si>
  <si>
    <t xml:space="preserve">Staff costs</t>
  </si>
  <si>
    <t xml:space="preserve">Start Up Loan monthly repayment - First Loan</t>
  </si>
  <si>
    <t>Saplings</t>
  </si>
  <si>
    <t xml:space="preserve">Event signage/materials</t>
  </si>
  <si>
    <t xml:space="preserve">Promotion &amp; awareness materials</t>
  </si>
  <si>
    <t xml:space="preserve">Launch or engagement events</t>
  </si>
  <si>
    <t xml:space="preserve">User incentives</t>
  </si>
  <si>
    <t xml:space="preserve">Application publishing &amp; Testing</t>
  </si>
  <si>
    <t xml:space="preserve">Total cash out-flows (B)</t>
  </si>
  <si>
    <t xml:space="preserve">Your net cash flow (A-B)</t>
  </si>
  <si>
    <t xml:space="preserve">Your monthly opening business bank account balance</t>
  </si>
  <si>
    <t xml:space="preserve">Your closing cash position</t>
  </si>
  <si>
    <t xml:space="preserve">Stress test at 10% reduction in revenue</t>
  </si>
  <si>
    <t xml:space="preserve">Stress test at 15% reduction in revenue</t>
  </si>
  <si>
    <t xml:space="preserve">Stress test at 20% reduction in revenue</t>
  </si>
  <si>
    <t xml:space="preserve">Your notes or commentary</t>
  </si>
  <si>
    <t xml:space="preserve">Use this space to explain any of the information you have provided in the fields above.</t>
  </si>
</sst>
</file>

<file path=xl/styles.xml><?xml version="1.0" encoding="utf-8"?>
<styleSheet xmlns="http://schemas.openxmlformats.org/spreadsheetml/2006/main" xmlns:mc="http://schemas.openxmlformats.org/markup-compatibility/2006" xmlns:x14="http://schemas.microsoft.com/office/spreadsheetml/2009/9/main" xmlns:x14ac="http://schemas.microsoft.com/office/spreadsheetml/2009/9/ac" xmlns:x16r2="http://schemas.microsoft.com/office/spreadsheetml/2015/02/main" mc:Ignorable="x14ac x16r2">
  <numFmts count="3">
    <numFmt numFmtId="164" formatCode="&quot;£&quot;#,##0.00;[Red]\-&quot;£&quot;#,##0.00"/>
    <numFmt numFmtId="165" formatCode="&quot;£&quot;#,##0;[Red]\-&quot;£&quot;#,##0"/>
    <numFmt numFmtId="166" formatCode="_-* #,##0_-;\-* #,##0_-;_-* &quot;-&quot;??_-;_-@_-"/>
  </numFmts>
  <fonts count="24">
    <font>
      <sz val="11.000000"/>
      <color theme="1"/>
      <name val="Calibri"/>
      <scheme val="minor"/>
    </font>
    <font>
      <b/>
      <sz val="22.000000"/>
      <color rgb="FF142855"/>
      <name val="Arial"/>
    </font>
    <font>
      <b/>
      <sz val="22.000000"/>
      <name val="Arial"/>
    </font>
    <font>
      <b/>
      <sz val="16.000000"/>
      <name val="Arial"/>
    </font>
    <font>
      <b/>
      <sz val="14.000000"/>
      <name val="Arial"/>
    </font>
    <font>
      <b/>
      <sz val="14.000000"/>
      <color theme="1"/>
      <name val="Arial"/>
    </font>
    <font>
      <sz val="14.000000"/>
      <color theme="4"/>
      <name val="Arial"/>
      <scheme val="minor"/>
    </font>
    <font>
      <sz val="11.000000"/>
      <color rgb="FF002060"/>
      <name val="Arial"/>
    </font>
    <font>
      <sz val="11.000000"/>
      <color theme="1"/>
      <name val="Arial"/>
    </font>
    <font>
      <sz val="11.000000"/>
      <name val="Arial"/>
    </font>
    <font>
      <b/>
      <sz val="10.000000"/>
      <color theme="1"/>
      <name val="Arial"/>
    </font>
    <font>
      <b/>
      <sz val="11.000000"/>
      <name val="Arial"/>
    </font>
    <font>
      <sz val="10.000000"/>
      <color theme="4"/>
      <name val="Arial"/>
    </font>
    <font>
      <b/>
      <sz val="11.000000"/>
      <color theme="4"/>
      <name val="Arial"/>
    </font>
    <font>
      <b/>
      <sz val="12.000000"/>
      <color theme="0"/>
      <name val="Arial"/>
    </font>
    <font>
      <b/>
      <sz val="12.000000"/>
      <name val="Arial"/>
    </font>
    <font>
      <b/>
      <sz val="11.000000"/>
      <color theme="0"/>
      <name val="Arial"/>
    </font>
    <font>
      <b/>
      <sz val="10.000000"/>
      <color theme="0"/>
      <name val="Arial"/>
    </font>
    <font>
      <b/>
      <sz val="10.000000"/>
      <color theme="4"/>
      <name val="Arial"/>
    </font>
    <font>
      <sz val="11.000000"/>
      <color theme="4"/>
      <name val="Arial"/>
    </font>
    <font>
      <sz val="10.000000"/>
      <color theme="1"/>
      <name val="Arial"/>
    </font>
    <font>
      <b/>
      <sz val="11.000000"/>
      <color theme="1"/>
      <name val="Arial"/>
    </font>
    <font>
      <sz val="11.000000"/>
      <color theme="0"/>
      <name val="Arial"/>
    </font>
    <font>
      <b/>
      <sz val="14.000000"/>
      <color theme="0"/>
      <name val="Arial"/>
    </font>
  </fonts>
  <fills count="9">
    <fill>
      <patternFill patternType="none"/>
    </fill>
    <fill>
      <patternFill patternType="gray125"/>
    </fill>
    <fill>
      <patternFill patternType="none"/>
    </fill>
    <fill>
      <patternFill patternType="solid">
        <fgColor theme="0"/>
      </patternFill>
    </fill>
    <fill>
      <patternFill patternType="solid">
        <fgColor rgb="FF55C0FF"/>
      </patternFill>
    </fill>
    <fill>
      <patternFill patternType="solid">
        <fgColor theme="6"/>
      </patternFill>
    </fill>
    <fill>
      <patternFill patternType="solid">
        <fgColor rgb="FF142855"/>
      </patternFill>
    </fill>
    <fill>
      <patternFill patternType="solid">
        <fgColor rgb="FF50C5A7"/>
      </patternFill>
    </fill>
    <fill>
      <patternFill patternType="solid">
        <fgColor theme="4"/>
      </patternFill>
    </fill>
  </fills>
  <borders count="52">
    <border>
      <left style="none"/>
      <right style="none"/>
      <top style="none"/>
      <bottom style="none"/>
      <diagonal style="none"/>
    </border>
    <border>
      <left style="none"/>
      <right style="thin">
        <color theme="4"/>
      </right>
      <top style="none"/>
      <bottom style="none"/>
      <diagonal style="none"/>
    </border>
    <border>
      <left style="thin">
        <color theme="4"/>
      </left>
      <right style="none"/>
      <top style="none"/>
      <bottom style="none"/>
      <diagonal style="none"/>
    </border>
    <border>
      <left style="none"/>
      <right style="none"/>
      <top style="none"/>
      <bottom style="medium">
        <color rgb="FFA89497"/>
      </bottom>
      <diagonal style="none"/>
    </border>
    <border>
      <left style="medium">
        <color rgb="FFA89497"/>
      </left>
      <right style="none"/>
      <top style="medium">
        <color rgb="FFA89497"/>
      </top>
      <bottom style="none"/>
      <diagonal style="none"/>
    </border>
    <border>
      <left style="none"/>
      <right style="none"/>
      <top style="medium">
        <color rgb="FFA89497"/>
      </top>
      <bottom style="none"/>
      <diagonal style="none"/>
    </border>
    <border>
      <left style="none"/>
      <right style="medium">
        <color rgb="FFA89497"/>
      </right>
      <top style="medium">
        <color rgb="FFA89497"/>
      </top>
      <bottom style="none"/>
      <diagonal style="none"/>
    </border>
    <border>
      <left style="medium">
        <color rgb="FFA89497"/>
      </left>
      <right style="none"/>
      <top style="none"/>
      <bottom style="none"/>
      <diagonal style="none"/>
    </border>
    <border>
      <left style="none"/>
      <right style="medium">
        <color rgb="FFA89497"/>
      </right>
      <top style="none"/>
      <bottom style="none"/>
      <diagonal style="none"/>
    </border>
    <border>
      <left style="none"/>
      <right style="none"/>
      <top style="none"/>
      <bottom style="thin">
        <color theme="1" tint="0.34998626667073579"/>
      </bottom>
      <diagonal style="none"/>
    </border>
    <border>
      <left style="medium">
        <color rgb="FFA89497"/>
      </left>
      <right style="thin">
        <color theme="1" tint="0.34998626667073579"/>
      </right>
      <top style="none"/>
      <bottom style="none"/>
      <diagonal style="none"/>
    </border>
    <border>
      <left style="thin">
        <color theme="1" tint="0.34998626667073579"/>
      </left>
      <right style="thin">
        <color theme="1" tint="0.34998626667073579"/>
      </right>
      <top style="thin">
        <color theme="1" tint="0.34998626667073579"/>
      </top>
      <bottom style="thin">
        <color theme="1" tint="0.34998626667073579"/>
      </bottom>
      <diagonal style="none"/>
    </border>
    <border>
      <left style="thin">
        <color theme="1" tint="0.34998626667073579"/>
      </left>
      <right style="none"/>
      <top style="thin">
        <color theme="1" tint="0.34998626667073579"/>
      </top>
      <bottom style="thin">
        <color theme="1" tint="0.34998626667073579"/>
      </bottom>
      <diagonal style="none"/>
    </border>
    <border>
      <left style="none"/>
      <right style="thin">
        <color theme="1" tint="0.34998626667073579"/>
      </right>
      <top style="thin">
        <color theme="1" tint="0.34998626667073579"/>
      </top>
      <bottom style="thin">
        <color theme="1" tint="0.34998626667073579"/>
      </bottom>
      <diagonal style="none"/>
    </border>
    <border>
      <left style="medium">
        <color rgb="FFA89497"/>
      </left>
      <right style="none"/>
      <top style="none"/>
      <bottom style="medium">
        <color rgb="FFA89497"/>
      </bottom>
      <diagonal style="none"/>
    </border>
    <border>
      <left style="none"/>
      <right style="medium">
        <color rgb="FFA89497"/>
      </right>
      <top style="none"/>
      <bottom style="medium">
        <color rgb="FFA89497"/>
      </bottom>
      <diagonal style="none"/>
    </border>
    <border>
      <left style="none"/>
      <right style="none"/>
      <top style="medium">
        <color rgb="FFA89497"/>
      </top>
      <bottom style="double">
        <color auto="1"/>
      </bottom>
      <diagonal style="none"/>
    </border>
    <border>
      <left style="none"/>
      <right style="none"/>
      <top style="none"/>
      <bottom style="double">
        <color auto="1"/>
      </bottom>
      <diagonal style="none"/>
    </border>
    <border>
      <left style="none"/>
      <right style="none"/>
      <top style="thin">
        <color theme="1" tint="0.34998626667073579"/>
      </top>
      <bottom style="double">
        <color auto="1"/>
      </bottom>
      <diagonal style="none"/>
    </border>
    <border>
      <left style="none"/>
      <right style="none"/>
      <top style="double">
        <color auto="1"/>
      </top>
      <bottom style="medium">
        <color rgb="FFA89497"/>
      </bottom>
      <diagonal style="none"/>
    </border>
    <border>
      <left style="medium">
        <color rgb="FFA89497"/>
      </left>
      <right style="medium">
        <color rgb="FFA89497"/>
      </right>
      <top style="medium">
        <color rgb="FFA89497"/>
      </top>
      <bottom style="none"/>
      <diagonal style="none"/>
    </border>
    <border>
      <left style="medium">
        <color rgb="FFA89497"/>
      </left>
      <right style="medium">
        <color rgb="FFA89497"/>
      </right>
      <top style="none"/>
      <bottom style="none"/>
      <diagonal style="none"/>
    </border>
    <border>
      <left style="medium">
        <color rgb="FFA89497"/>
      </left>
      <right style="medium">
        <color rgb="FFA89497"/>
      </right>
      <top style="none"/>
      <bottom style="medium">
        <color rgb="FFA89497"/>
      </bottom>
      <diagonal style="none"/>
    </border>
    <border>
      <left style="none"/>
      <right style="none"/>
      <top style="medium">
        <color rgb="FFA89497"/>
      </top>
      <bottom style="medium">
        <color rgb="FFA89497"/>
      </bottom>
      <diagonal style="none"/>
    </border>
    <border>
      <left style="medium">
        <color rgb="FFA89497"/>
      </left>
      <right style="thin">
        <color theme="1" tint="0.499984740745262"/>
      </right>
      <top style="medium">
        <color rgb="FFA89497"/>
      </top>
      <bottom style="medium">
        <color rgb="FFA89497"/>
      </bottom>
      <diagonal style="none"/>
    </border>
    <border>
      <left style="thin">
        <color theme="1" tint="0.499984740745262"/>
      </left>
      <right style="medium">
        <color rgb="FFA89497"/>
      </right>
      <top style="medium">
        <color rgb="FFA89497"/>
      </top>
      <bottom style="medium">
        <color rgb="FFA89497"/>
      </bottom>
      <diagonal style="none"/>
    </border>
    <border>
      <left style="medium">
        <color rgb="FFA89497"/>
      </left>
      <right style="none"/>
      <top style="medium">
        <color rgb="FFA89497"/>
      </top>
      <bottom style="medium">
        <color rgb="FFA89497"/>
      </bottom>
      <diagonal style="none"/>
    </border>
    <border>
      <left style="none"/>
      <right style="medium">
        <color rgb="FFA89497"/>
      </right>
      <top style="medium">
        <color rgb="FFA89497"/>
      </top>
      <bottom style="medium">
        <color rgb="FFA89497"/>
      </bottom>
      <diagonal style="none"/>
    </border>
    <border>
      <left style="medium">
        <color rgb="FFA89497"/>
      </left>
      <right style="thin">
        <color theme="1" tint="0.499984740745262"/>
      </right>
      <top style="medium">
        <color rgb="FFA89497"/>
      </top>
      <bottom style="thin">
        <color theme="1" tint="0.499984740745262"/>
      </bottom>
      <diagonal style="none"/>
    </border>
    <border>
      <left style="thin">
        <color theme="1" tint="0.499984740745262"/>
      </left>
      <right style="thin">
        <color theme="1" tint="0.499984740745262"/>
      </right>
      <top style="medium">
        <color rgb="FFA89497"/>
      </top>
      <bottom style="thin">
        <color theme="1" tint="0.499984740745262"/>
      </bottom>
      <diagonal style="none"/>
    </border>
    <border>
      <left style="thin">
        <color theme="1" tint="0.499984740745262"/>
      </left>
      <right style="thin">
        <color theme="1" tint="0.499984740745262"/>
      </right>
      <top style="medium">
        <color rgb="FFA89497"/>
      </top>
      <bottom style="none"/>
      <diagonal style="none"/>
    </border>
    <border>
      <left style="thin">
        <color theme="1" tint="0.499984740745262"/>
      </left>
      <right style="medium">
        <color rgb="FFA89497"/>
      </right>
      <top style="medium">
        <color rgb="FFA89497"/>
      </top>
      <bottom style="none"/>
      <diagonal style="none"/>
    </border>
    <border>
      <left style="medium">
        <color rgb="FFA89497"/>
      </left>
      <right style="thin">
        <color theme="1" tint="0.499984740745262"/>
      </right>
      <top style="thin">
        <color theme="1" tint="0.499984740745262"/>
      </top>
      <bottom style="thin">
        <color theme="1" tint="0.499984740745262"/>
      </bottom>
      <diagonal style="none"/>
    </border>
    <border>
      <left style="thin">
        <color theme="1" tint="0.499984740745262"/>
      </left>
      <right style="thin">
        <color theme="1" tint="0.499984740745262"/>
      </right>
      <top style="thin">
        <color theme="1" tint="0.499984740745262"/>
      </top>
      <bottom style="thin">
        <color theme="1" tint="0.499984740745262"/>
      </bottom>
      <diagonal style="none"/>
    </border>
    <border>
      <left style="thin">
        <color theme="1" tint="0.499984740745262"/>
      </left>
      <right style="thin">
        <color theme="1" tint="0.499984740745262"/>
      </right>
      <top style="thin">
        <color auto="1"/>
      </top>
      <bottom style="thin">
        <color theme="1" tint="0.499984740745262"/>
      </bottom>
      <diagonal style="none"/>
    </border>
    <border>
      <left style="thin">
        <color theme="1" tint="0.499984740745262"/>
      </left>
      <right style="medium">
        <color rgb="FFA89497"/>
      </right>
      <top style="thin">
        <color auto="1"/>
      </top>
      <bottom style="thin">
        <color theme="1" tint="0.499984740745262"/>
      </bottom>
      <diagonal style="none"/>
    </border>
    <border>
      <left style="thin">
        <color theme="1" tint="0.499984740745262"/>
      </left>
      <right style="medium">
        <color rgb="FFA89497"/>
      </right>
      <top style="thin">
        <color theme="1" tint="0.499984740745262"/>
      </top>
      <bottom style="thin">
        <color theme="1" tint="0.499984740745262"/>
      </bottom>
      <diagonal style="none"/>
    </border>
    <border>
      <left style="medium">
        <color rgb="FFA89497"/>
      </left>
      <right style="thin">
        <color auto="1"/>
      </right>
      <top style="thin">
        <color theme="1" tint="0.499984740745262"/>
      </top>
      <bottom style="medium">
        <color rgb="FFA89497"/>
      </bottom>
      <diagonal style="none"/>
    </border>
    <border>
      <left style="thin">
        <color auto="1"/>
      </left>
      <right style="thin">
        <color theme="1" tint="0.499984740745262"/>
      </right>
      <top style="thin">
        <color theme="1" tint="0.499984740745262"/>
      </top>
      <bottom style="medium">
        <color rgb="FFA89497"/>
      </bottom>
      <diagonal style="none"/>
    </border>
    <border>
      <left style="thin">
        <color theme="1" tint="0.499984740745262"/>
      </left>
      <right style="thin">
        <color theme="1" tint="0.499984740745262"/>
      </right>
      <top style="thin">
        <color theme="1" tint="0.499984740745262"/>
      </top>
      <bottom style="medium">
        <color rgb="FFA89497"/>
      </bottom>
      <diagonal style="none"/>
    </border>
    <border>
      <left style="thin">
        <color theme="1" tint="0.499984740745262"/>
      </left>
      <right style="medium">
        <color rgb="FFA89497"/>
      </right>
      <top style="thin">
        <color theme="1" tint="0.499984740745262"/>
      </top>
      <bottom style="medium">
        <color rgb="FFA89497"/>
      </bottom>
      <diagonal style="none"/>
    </border>
    <border>
      <left style="medium">
        <color rgb="FFA89497"/>
      </left>
      <right style="thin">
        <color auto="1"/>
      </right>
      <top style="medium">
        <color rgb="FFA89497"/>
      </top>
      <bottom style="medium">
        <color rgb="FFA89497"/>
      </bottom>
      <diagonal style="none"/>
    </border>
    <border>
      <left style="thin">
        <color auto="1"/>
      </left>
      <right style="thin">
        <color theme="1" tint="0.499984740745262"/>
      </right>
      <top style="medium">
        <color rgb="FFA89497"/>
      </top>
      <bottom style="medium">
        <color rgb="FFA89497"/>
      </bottom>
      <diagonal style="none"/>
    </border>
    <border>
      <left style="thin">
        <color theme="1" tint="0.499984740745262"/>
      </left>
      <right style="thin">
        <color theme="1" tint="0.499984740745262"/>
      </right>
      <top style="medium">
        <color rgb="FFA89497"/>
      </top>
      <bottom style="medium">
        <color rgb="FFA89497"/>
      </bottom>
      <diagonal style="none"/>
    </border>
    <border>
      <left style="none"/>
      <right style="thin">
        <color theme="1" tint="0.34998626667073579"/>
      </right>
      <top style="medium">
        <color rgb="FFA89497"/>
      </top>
      <bottom style="medium">
        <color rgb="FFA89497"/>
      </bottom>
      <diagonal style="none"/>
    </border>
    <border>
      <left style="thin">
        <color theme="1" tint="0.34998626667073579"/>
      </left>
      <right style="thin">
        <color theme="1" tint="0.499984740745262"/>
      </right>
      <top style="medium">
        <color rgb="FFA89497"/>
      </top>
      <bottom style="medium">
        <color rgb="FFA89497"/>
      </bottom>
      <diagonal style="none"/>
    </border>
    <border>
      <left style="thin">
        <color theme="1" tint="0.499984740745262"/>
      </left>
      <right style="thin">
        <color theme="1" tint="0.34998626667073579"/>
      </right>
      <top style="medium">
        <color rgb="FFA89497"/>
      </top>
      <bottom style="medium">
        <color rgb="FFA89497"/>
      </bottom>
      <diagonal style="none"/>
    </border>
    <border>
      <left style="thin">
        <color theme="1" tint="0.34998626667073579"/>
      </left>
      <right style="thin">
        <color theme="1" tint="0.34998626667073579"/>
      </right>
      <top style="medium">
        <color rgb="FFA89497"/>
      </top>
      <bottom style="medium">
        <color rgb="FFA89497"/>
      </bottom>
      <diagonal style="none"/>
    </border>
    <border>
      <left style="thin">
        <color theme="1" tint="0.34998626667073579"/>
      </left>
      <right style="medium">
        <color rgb="FFA89497"/>
      </right>
      <top style="medium">
        <color rgb="FFA89497"/>
      </top>
      <bottom style="medium">
        <color rgb="FFA89497"/>
      </bottom>
      <diagonal style="none"/>
    </border>
    <border>
      <left style="medium">
        <color rgb="FFA89497"/>
      </left>
      <right style="thin">
        <color theme="1" tint="0.499984740745262"/>
      </right>
      <top style="thin">
        <color theme="1" tint="0.499984740745262"/>
      </top>
      <bottom style="medium">
        <color rgb="FFA89497"/>
      </bottom>
      <diagonal style="none"/>
    </border>
    <border>
      <left style="medium">
        <color rgb="FFA89497"/>
      </left>
      <right style="medium">
        <color auto="1"/>
      </right>
      <top style="medium">
        <color rgb="FFA89497"/>
      </top>
      <bottom style="medium">
        <color rgb="FFA89497"/>
      </bottom>
      <diagonal style="none"/>
    </border>
    <border>
      <left style="medium">
        <color auto="1"/>
      </left>
      <right style="thin">
        <color theme="1" tint="0.34998626667073579"/>
      </right>
      <top style="medium">
        <color rgb="FFA89497"/>
      </top>
      <bottom style="medium">
        <color rgb="FFA89497"/>
      </bottom>
      <diagonal style="none"/>
    </border>
  </borders>
  <cellStyleXfs count="3">
    <xf fontId="0" fillId="0" borderId="0" numFmtId="0" applyNumberFormat="1" applyFont="1" applyFill="1" applyBorder="1"/>
    <xf fontId="0" fillId="2" borderId="0" numFmtId="44" applyNumberFormat="1" applyFont="0" applyFill="0" applyBorder="0"/>
    <xf fontId="0" fillId="2" borderId="0" numFmtId="43" applyNumberFormat="1" applyFont="0" applyFill="0" applyBorder="0"/>
  </cellStyleXfs>
  <cellXfs count="135">
    <xf fontId="0" fillId="0" borderId="0" numFmtId="0" xfId="0"/>
    <xf fontId="1" fillId="3" borderId="0" numFmtId="0" xfId="0" applyFont="1" applyFill="1" applyAlignment="1">
      <alignment vertical="center"/>
    </xf>
    <xf fontId="2" fillId="3" borderId="0" numFmtId="0" xfId="0" applyFont="1" applyFill="1" applyAlignment="1">
      <alignment vertical="center"/>
    </xf>
    <xf fontId="3" fillId="3" borderId="0" numFmtId="0" xfId="0" applyFont="1" applyFill="1" applyAlignment="1">
      <alignment vertical="center"/>
    </xf>
    <xf fontId="3" fillId="3" borderId="0" numFmtId="0" xfId="0" applyFont="1" applyFill="1" applyAlignment="1">
      <alignment horizontal="left" vertical="center"/>
    </xf>
    <xf fontId="4" fillId="3" borderId="0" numFmtId="0" xfId="0" applyFont="1" applyFill="1" applyAlignment="1">
      <alignment horizontal="center"/>
    </xf>
    <xf fontId="5" fillId="3" borderId="0" numFmtId="0" xfId="0" applyFont="1" applyFill="1"/>
    <xf fontId="6" fillId="3" borderId="1" numFmtId="0" xfId="0" applyFont="1" applyFill="1" applyBorder="1" applyAlignment="1">
      <alignment horizontal="right" vertical="top"/>
      <protection locked="0"/>
    </xf>
    <xf fontId="0" fillId="3" borderId="2" numFmtId="0" xfId="0" applyFill="1" applyBorder="1" applyAlignment="1">
      <alignment horizontal="left" vertical="top" wrapText="1"/>
      <protection locked="0"/>
    </xf>
    <xf fontId="0" fillId="3" borderId="0" numFmtId="0" xfId="0" applyFill="1" applyAlignment="1">
      <alignment horizontal="left" vertical="top" wrapText="1"/>
      <protection locked="0"/>
    </xf>
    <xf fontId="3" fillId="3" borderId="3" numFmtId="0" xfId="0" applyFont="1" applyFill="1" applyBorder="1" applyAlignment="1">
      <alignment vertical="center"/>
    </xf>
    <xf fontId="3" fillId="3" borderId="3" numFmtId="0" xfId="0" applyFont="1" applyFill="1" applyBorder="1" applyAlignment="1">
      <alignment horizontal="left" vertical="center"/>
    </xf>
    <xf fontId="4" fillId="3" borderId="3" numFmtId="0" xfId="0" applyFont="1" applyFill="1" applyBorder="1" applyAlignment="1">
      <alignment horizontal="center"/>
    </xf>
    <xf fontId="5" fillId="3" borderId="3" numFmtId="0" xfId="0" applyFont="1" applyFill="1" applyBorder="1"/>
    <xf fontId="7" fillId="0" borderId="4" numFmtId="0" xfId="0" applyFont="1" applyBorder="1" applyAlignment="1">
      <alignment horizontal="left" vertical="center" wrapText="1"/>
    </xf>
    <xf fontId="7" fillId="0" borderId="5" numFmtId="0" xfId="0" applyFont="1" applyBorder="1" applyAlignment="1">
      <alignment horizontal="left" vertical="center" wrapText="1"/>
    </xf>
    <xf fontId="7" fillId="0" borderId="6" numFmtId="0" xfId="0" applyFont="1" applyBorder="1" applyAlignment="1">
      <alignment horizontal="left" vertical="center" wrapText="1"/>
    </xf>
    <xf fontId="8" fillId="3" borderId="0" numFmtId="0" xfId="0" applyFont="1" applyFill="1"/>
    <xf fontId="9" fillId="0" borderId="7" numFmtId="0" xfId="0" applyFont="1" applyBorder="1" applyAlignment="1">
      <alignment horizontal="left" vertical="center" wrapText="1"/>
    </xf>
    <xf fontId="9" fillId="0" borderId="0" numFmtId="0" xfId="0" applyFont="1" applyAlignment="1">
      <alignment horizontal="left" vertical="center" wrapText="1"/>
    </xf>
    <xf fontId="9" fillId="0" borderId="8" numFmtId="0" xfId="0" applyFont="1" applyBorder="1" applyAlignment="1">
      <alignment horizontal="left" vertical="center" wrapText="1"/>
    </xf>
    <xf fontId="10" fillId="3" borderId="0" numFmtId="0" xfId="0" applyFont="1" applyFill="1"/>
    <xf fontId="10" fillId="3" borderId="9" numFmtId="0" xfId="0" applyFont="1" applyFill="1" applyBorder="1"/>
    <xf fontId="8" fillId="3" borderId="9" numFmtId="0" xfId="0" applyFont="1" applyFill="1" applyBorder="1"/>
    <xf fontId="5" fillId="3" borderId="9" numFmtId="0" xfId="0" applyFont="1" applyFill="1" applyBorder="1"/>
    <xf fontId="8" fillId="3" borderId="10" numFmtId="0" xfId="0" applyFont="1" applyFill="1" applyBorder="1"/>
    <xf fontId="11" fillId="4" borderId="11" numFmtId="0" xfId="0" applyFont="1" applyFill="1" applyBorder="1" applyAlignment="1">
      <alignment horizontal="left" vertical="center"/>
    </xf>
    <xf fontId="12" fillId="0" borderId="12" numFmtId="0" xfId="0" applyFont="1" applyBorder="1" applyAlignment="1">
      <alignment vertical="center" wrapText="1"/>
    </xf>
    <xf fontId="12" fillId="0" borderId="13" numFmtId="0" xfId="0" applyFont="1" applyBorder="1" applyAlignment="1">
      <alignment vertical="center" wrapText="1"/>
    </xf>
    <xf fontId="9" fillId="0" borderId="14" numFmtId="0" xfId="0" applyFont="1" applyBorder="1" applyAlignment="1">
      <alignment horizontal="left" vertical="center" wrapText="1"/>
    </xf>
    <xf fontId="9" fillId="0" borderId="3" numFmtId="0" xfId="0" applyFont="1" applyBorder="1" applyAlignment="1">
      <alignment horizontal="left" vertical="center" wrapText="1"/>
    </xf>
    <xf fontId="9" fillId="0" borderId="15" numFmtId="0" xfId="0" applyFont="1" applyBorder="1" applyAlignment="1">
      <alignment horizontal="left" vertical="center" wrapText="1"/>
    </xf>
    <xf fontId="11" fillId="0" borderId="11" numFmtId="0" xfId="0" applyFont="1" applyBorder="1" applyAlignment="1">
      <alignment horizontal="left" vertical="center"/>
    </xf>
    <xf fontId="12" fillId="0" borderId="12" numFmtId="0" xfId="0" applyFont="1" applyBorder="1" applyAlignment="1">
      <alignment horizontal="center" vertical="center" wrapText="1"/>
    </xf>
    <xf fontId="12" fillId="0" borderId="13" numFmtId="0" xfId="0" applyFont="1" applyBorder="1" applyAlignment="1">
      <alignment horizontal="center" vertical="center" wrapText="1"/>
    </xf>
    <xf fontId="11" fillId="3" borderId="16" numFmtId="0" xfId="0" applyFont="1" applyFill="1" applyBorder="1" applyAlignment="1">
      <alignment horizontal="left" vertical="center"/>
    </xf>
    <xf fontId="11" fillId="3" borderId="16" numFmtId="0" xfId="0" applyFont="1" applyFill="1" applyBorder="1" applyAlignment="1">
      <alignment horizontal="center"/>
    </xf>
    <xf fontId="8" fillId="3" borderId="16" numFmtId="0" xfId="0" applyFont="1" applyFill="1" applyBorder="1"/>
    <xf fontId="11" fillId="3" borderId="17" numFmtId="0" xfId="0" applyFont="1" applyFill="1" applyBorder="1" applyAlignment="1">
      <alignment horizontal="center"/>
    </xf>
    <xf fontId="11" fillId="3" borderId="18" numFmtId="0" xfId="0" applyFont="1" applyFill="1" applyBorder="1" applyAlignment="1">
      <alignment horizontal="center"/>
    </xf>
    <xf fontId="9" fillId="3" borderId="0" numFmtId="0" xfId="0" applyFont="1" applyFill="1" applyAlignment="1">
      <alignment horizontal="left"/>
    </xf>
    <xf fontId="9" fillId="3" borderId="19" numFmtId="0" xfId="0" applyFont="1" applyFill="1" applyBorder="1" applyAlignment="1">
      <alignment horizontal="left"/>
    </xf>
    <xf fontId="11" fillId="3" borderId="0" numFmtId="0" xfId="0" applyFont="1" applyFill="1" applyAlignment="1">
      <alignment horizontal="center"/>
    </xf>
    <xf fontId="7" fillId="3" borderId="8" numFmtId="0" xfId="0" applyFont="1" applyFill="1" applyBorder="1" applyAlignment="1">
      <alignment horizontal="right"/>
    </xf>
    <xf fontId="7" fillId="3" borderId="20" numFmtId="0" xfId="0" applyFont="1" applyFill="1" applyBorder="1" applyAlignment="1">
      <alignment horizontal="left"/>
    </xf>
    <xf fontId="7" fillId="5" borderId="21" numFmtId="9" xfId="0" applyNumberFormat="1" applyFont="1" applyFill="1" applyBorder="1" applyAlignment="1">
      <alignment horizontal="left"/>
    </xf>
    <xf fontId="7" fillId="3" borderId="21" numFmtId="0" xfId="0" applyFont="1" applyFill="1" applyBorder="1" applyAlignment="1">
      <alignment horizontal="left"/>
    </xf>
    <xf fontId="7" fillId="5" borderId="22" numFmtId="164" xfId="0" applyNumberFormat="1" applyFont="1" applyFill="1" applyBorder="1" applyAlignment="1">
      <alignment horizontal="left"/>
    </xf>
    <xf fontId="9" fillId="3" borderId="3" numFmtId="0" xfId="0" applyFont="1" applyFill="1" applyBorder="1" applyAlignment="1">
      <alignment horizontal="left"/>
    </xf>
    <xf fontId="9" fillId="3" borderId="23" numFmtId="0" xfId="0" applyFont="1" applyFill="1" applyBorder="1" applyAlignment="1">
      <alignment horizontal="left"/>
    </xf>
    <xf fontId="13" fillId="0" borderId="24" numFmtId="0" xfId="0" applyFont="1" applyBorder="1" applyAlignment="1">
      <alignment vertical="center"/>
    </xf>
    <xf fontId="11" fillId="0" borderId="25" numFmtId="0" xfId="0" applyFont="1" applyBorder="1" applyAlignment="1">
      <alignment horizontal="center"/>
      <protection locked="0"/>
    </xf>
    <xf fontId="11" fillId="3" borderId="3" numFmtId="0" xfId="0" applyFont="1" applyFill="1" applyBorder="1" applyAlignment="1">
      <alignment horizontal="centerContinuous"/>
    </xf>
    <xf fontId="8" fillId="3" borderId="3" numFmtId="0" xfId="0" applyFont="1" applyFill="1" applyBorder="1"/>
    <xf fontId="11" fillId="3" borderId="0" numFmtId="0" xfId="0" applyFont="1" applyFill="1" applyAlignment="1">
      <alignment horizontal="centerContinuous"/>
    </xf>
    <xf fontId="11" fillId="3" borderId="23" numFmtId="0" xfId="0" applyFont="1" applyFill="1" applyBorder="1"/>
    <xf fontId="11" fillId="3" borderId="15" numFmtId="0" xfId="0" applyFont="1" applyFill="1" applyBorder="1" applyAlignment="1">
      <alignment horizontal="center"/>
    </xf>
    <xf fontId="14" fillId="6" borderId="26" numFmtId="0" xfId="0" applyFont="1" applyFill="1" applyBorder="1" applyAlignment="1">
      <alignment horizontal="center" vertical="center"/>
    </xf>
    <xf fontId="14" fillId="6" borderId="23" numFmtId="0" xfId="0" applyFont="1" applyFill="1" applyBorder="1" applyAlignment="1">
      <alignment horizontal="center" vertical="center"/>
    </xf>
    <xf fontId="14" fillId="6" borderId="27" numFmtId="0" xfId="0" applyFont="1" applyFill="1" applyBorder="1" applyAlignment="1">
      <alignment horizontal="center" vertical="center"/>
    </xf>
    <xf fontId="15" fillId="3" borderId="14" numFmtId="0" xfId="0" applyFont="1" applyFill="1" applyBorder="1" applyAlignment="1">
      <alignment horizontal="center"/>
    </xf>
    <xf fontId="14" fillId="6" borderId="28" numFmtId="0" xfId="0" applyFont="1" applyFill="1" applyBorder="1" applyAlignment="1">
      <alignment horizontal="center" vertical="center"/>
    </xf>
    <xf fontId="16" fillId="6" borderId="29" numFmtId="0" xfId="0" applyFont="1" applyFill="1" applyBorder="1" applyAlignment="1">
      <alignment horizontal="center" vertical="center" wrapText="1"/>
    </xf>
    <xf fontId="16" fillId="6" borderId="30" numFmtId="0" xfId="0" applyFont="1" applyFill="1" applyBorder="1" applyAlignment="1">
      <alignment horizontal="center" vertical="center"/>
    </xf>
    <xf fontId="16" fillId="6" borderId="31" numFmtId="0" xfId="0" applyFont="1" applyFill="1" applyBorder="1" applyAlignment="1">
      <alignment horizontal="center" vertical="center"/>
    </xf>
    <xf fontId="12" fillId="7" borderId="32" numFmtId="0" xfId="0" applyFont="1" applyFill="1" applyBorder="1" applyAlignment="1">
      <alignment vertical="center"/>
    </xf>
    <xf fontId="12" fillId="0" borderId="33" numFmtId="0" xfId="0" applyFont="1" applyBorder="1" applyAlignment="1">
      <alignment vertical="center"/>
      <protection locked="0"/>
    </xf>
    <xf fontId="12" fillId="0" borderId="33" numFmtId="165" xfId="0" applyNumberFormat="1" applyFont="1" applyBorder="1" applyAlignment="1">
      <alignment horizontal="center" vertical="center"/>
      <protection locked="0"/>
    </xf>
    <xf fontId="12" fillId="4" borderId="34" numFmtId="165" xfId="0" applyNumberFormat="1" applyFont="1" applyFill="1" applyBorder="1" applyAlignment="1">
      <alignment horizontal="center" vertical="center"/>
    </xf>
    <xf fontId="12" fillId="4" borderId="35" numFmtId="165" xfId="1" applyNumberFormat="1" applyFont="1" applyFill="1" applyBorder="1" applyAlignment="1">
      <alignment horizontal="center" vertical="center"/>
    </xf>
    <xf fontId="12" fillId="5" borderId="33" numFmtId="165" xfId="0" applyNumberFormat="1" applyFont="1" applyFill="1" applyBorder="1" applyAlignment="1">
      <alignment horizontal="center" vertical="center"/>
      <protection locked="0"/>
    </xf>
    <xf fontId="12" fillId="4" borderId="33" numFmtId="165" xfId="0" applyNumberFormat="1" applyFont="1" applyFill="1" applyBorder="1" applyAlignment="1">
      <alignment horizontal="center" vertical="center"/>
    </xf>
    <xf fontId="12" fillId="4" borderId="36" numFmtId="165" xfId="1" applyNumberFormat="1" applyFont="1" applyFill="1" applyBorder="1" applyAlignment="1">
      <alignment horizontal="center" vertical="center"/>
    </xf>
    <xf fontId="12" fillId="7" borderId="32" numFmtId="0" xfId="0" applyFont="1" applyFill="1" applyBorder="1" applyAlignment="1">
      <alignment vertical="center"/>
      <protection locked="0"/>
    </xf>
    <xf fontId="12" fillId="7" borderId="37" numFmtId="0" xfId="0" applyFont="1" applyFill="1" applyBorder="1" applyAlignment="1">
      <alignment vertical="center"/>
      <protection locked="0"/>
    </xf>
    <xf fontId="12" fillId="0" borderId="38" numFmtId="0" xfId="0" applyFont="1" applyBorder="1" applyAlignment="1">
      <alignment vertical="center"/>
      <protection locked="0"/>
    </xf>
    <xf fontId="12" fillId="0" borderId="39" numFmtId="165" xfId="0" applyNumberFormat="1" applyFont="1" applyBorder="1" applyAlignment="1">
      <alignment horizontal="center" vertical="center"/>
      <protection locked="0"/>
    </xf>
    <xf fontId="12" fillId="4" borderId="40" numFmtId="165" xfId="1" applyNumberFormat="1" applyFont="1" applyFill="1" applyBorder="1" applyAlignment="1">
      <alignment horizontal="center" vertical="center"/>
    </xf>
    <xf fontId="12" fillId="7" borderId="41" numFmtId="0" xfId="0" applyFont="1" applyFill="1" applyBorder="1" applyAlignment="1">
      <alignment vertical="center"/>
      <protection locked="0"/>
    </xf>
    <xf fontId="12" fillId="0" borderId="42" numFmtId="0" xfId="0" applyFont="1" applyBorder="1" applyAlignment="1">
      <alignment vertical="center"/>
      <protection locked="0"/>
    </xf>
    <xf fontId="12" fillId="0" borderId="43" numFmtId="165" xfId="0" applyNumberFormat="1" applyFont="1" applyBorder="1" applyAlignment="1">
      <alignment horizontal="center" vertical="center"/>
      <protection locked="0"/>
    </xf>
    <xf fontId="12" fillId="4" borderId="25" numFmtId="165" xfId="1" applyNumberFormat="1" applyFont="1" applyFill="1" applyBorder="1" applyAlignment="1">
      <alignment horizontal="center" vertical="center"/>
    </xf>
    <xf fontId="17" fillId="6" borderId="26" numFmtId="0" xfId="0" applyFont="1" applyFill="1" applyBorder="1" applyAlignment="1">
      <alignment horizontal="right" vertical="center"/>
    </xf>
    <xf fontId="17" fillId="6" borderId="44" numFmtId="0" xfId="0" applyFont="1" applyFill="1" applyBorder="1" applyAlignment="1">
      <alignment horizontal="right" vertical="center"/>
    </xf>
    <xf fontId="18" fillId="4" borderId="45" numFmtId="165" xfId="2" applyNumberFormat="1" applyFont="1" applyFill="1" applyBorder="1" applyAlignment="1">
      <alignment horizontal="center" vertical="center"/>
    </xf>
    <xf fontId="18" fillId="4" borderId="43" numFmtId="165" xfId="2" applyNumberFormat="1" applyFont="1" applyFill="1" applyBorder="1" applyAlignment="1">
      <alignment horizontal="center" vertical="center"/>
    </xf>
    <xf fontId="18" fillId="4" borderId="46" numFmtId="165" xfId="2" applyNumberFormat="1" applyFont="1" applyFill="1" applyBorder="1" applyAlignment="1">
      <alignment horizontal="center" vertical="center"/>
    </xf>
    <xf fontId="18" fillId="4" borderId="47" numFmtId="165" xfId="2" applyNumberFormat="1" applyFont="1" applyFill="1" applyBorder="1" applyAlignment="1">
      <alignment horizontal="center" vertical="center"/>
    </xf>
    <xf fontId="18" fillId="4" borderId="48" numFmtId="165" xfId="1" applyNumberFormat="1" applyFont="1" applyFill="1" applyBorder="1" applyAlignment="1">
      <alignment horizontal="center" vertical="center"/>
    </xf>
    <xf fontId="9" fillId="3" borderId="0" numFmtId="0" xfId="0" applyFont="1" applyFill="1"/>
    <xf fontId="9" fillId="3" borderId="0" numFmtId="3" xfId="0" applyNumberFormat="1" applyFont="1" applyFill="1"/>
    <xf fontId="11" fillId="3" borderId="0" numFmtId="166" xfId="2" applyNumberFormat="1" applyFont="1" applyFill="1"/>
    <xf fontId="9" fillId="3" borderId="3" numFmtId="3" xfId="0" applyNumberFormat="1" applyFont="1" applyFill="1" applyBorder="1"/>
    <xf fontId="9" fillId="3" borderId="3" numFmtId="0" xfId="0" applyFont="1" applyFill="1" applyBorder="1"/>
    <xf fontId="9" fillId="3" borderId="15" numFmtId="3" xfId="0" applyNumberFormat="1" applyFont="1" applyFill="1" applyBorder="1"/>
    <xf fontId="11" fillId="3" borderId="14" numFmtId="166" xfId="2" applyNumberFormat="1" applyFont="1" applyFill="1" applyBorder="1"/>
    <xf fontId="12" fillId="7" borderId="32" numFmtId="0" xfId="0" applyFont="1" applyFill="1" applyBorder="1" applyAlignment="1">
      <alignment horizontal="left" vertical="center" wrapText="1"/>
    </xf>
    <xf fontId="19" fillId="0" borderId="33" numFmtId="0" xfId="0" applyFont="1" applyBorder="1" applyAlignment="1">
      <alignment vertical="center"/>
      <protection locked="0"/>
    </xf>
    <xf fontId="12" fillId="0" borderId="33" numFmtId="165" xfId="1" applyNumberFormat="1" applyFont="1" applyBorder="1" applyAlignment="1">
      <alignment horizontal="center" vertical="center"/>
      <protection locked="0"/>
    </xf>
    <xf fontId="12" fillId="4" borderId="33" numFmtId="165" xfId="1" applyNumberFormat="1" applyFont="1" applyFill="1" applyBorder="1" applyAlignment="1">
      <alignment horizontal="center" vertical="center"/>
    </xf>
    <xf fontId="12" fillId="5" borderId="33" numFmtId="165" xfId="1" applyNumberFormat="1" applyFont="1" applyFill="1" applyBorder="1" applyAlignment="1">
      <alignment horizontal="center" vertical="center"/>
      <protection locked="0"/>
    </xf>
    <xf fontId="12" fillId="7" borderId="49" numFmtId="0" xfId="0" applyFont="1" applyFill="1" applyBorder="1" applyAlignment="1">
      <alignment vertical="center"/>
      <protection locked="0"/>
    </xf>
    <xf fontId="19" fillId="0" borderId="39" numFmtId="0" xfId="0" applyFont="1" applyBorder="1" applyAlignment="1">
      <alignment vertical="center"/>
      <protection locked="0"/>
    </xf>
    <xf fontId="12" fillId="0" borderId="39" numFmtId="165" xfId="1" applyNumberFormat="1" applyFont="1" applyBorder="1" applyAlignment="1">
      <alignment horizontal="center" vertical="center"/>
      <protection locked="0"/>
    </xf>
    <xf fontId="17" fillId="8" borderId="26" numFmtId="0" xfId="0" applyFont="1" applyFill="1" applyBorder="1" applyAlignment="1">
      <alignment horizontal="right" vertical="center"/>
    </xf>
    <xf fontId="17" fillId="8" borderId="44" numFmtId="0" xfId="0" applyFont="1" applyFill="1" applyBorder="1" applyAlignment="1">
      <alignment horizontal="right" vertical="center"/>
    </xf>
    <xf fontId="18" fillId="4" borderId="47" numFmtId="165" xfId="1" applyNumberFormat="1" applyFont="1" applyFill="1" applyBorder="1" applyAlignment="1">
      <alignment horizontal="center" vertical="center"/>
    </xf>
    <xf fontId="18" fillId="4" borderId="45" numFmtId="165" xfId="1" applyNumberFormat="1" applyFont="1" applyFill="1" applyBorder="1" applyAlignment="1">
      <alignment horizontal="center" vertical="center"/>
    </xf>
    <xf fontId="18" fillId="4" borderId="43" numFmtId="165" xfId="1" applyNumberFormat="1" applyFont="1" applyFill="1" applyBorder="1" applyAlignment="1">
      <alignment horizontal="center" vertical="center"/>
    </xf>
    <xf fontId="18" fillId="4" borderId="25" numFmtId="165" xfId="1" applyNumberFormat="1" applyFont="1" applyFill="1" applyBorder="1" applyAlignment="1">
      <alignment horizontal="center" vertical="center"/>
    </xf>
    <xf fontId="8" fillId="3" borderId="23" numFmtId="0" xfId="0" applyFont="1" applyFill="1" applyBorder="1"/>
    <xf fontId="20" fillId="3" borderId="23" numFmtId="165" xfId="0" applyNumberFormat="1" applyFont="1" applyFill="1" applyBorder="1" applyAlignment="1">
      <alignment horizontal="center" vertical="center"/>
    </xf>
    <xf fontId="20" fillId="3" borderId="23" numFmtId="165" xfId="2" applyNumberFormat="1" applyFont="1" applyFill="1" applyBorder="1" applyAlignment="1">
      <alignment horizontal="center" vertical="center"/>
    </xf>
    <xf fontId="21" fillId="0" borderId="8" numFmtId="0" xfId="0" applyFont="1" applyBorder="1"/>
    <xf fontId="16" fillId="6" borderId="50" numFmtId="0" xfId="0" applyFont="1" applyFill="1" applyBorder="1" applyAlignment="1">
      <alignment horizontal="right" vertical="center"/>
    </xf>
    <xf fontId="18" fillId="4" borderId="51" numFmtId="165" xfId="1" applyNumberFormat="1" applyFont="1" applyFill="1" applyBorder="1" applyAlignment="1">
      <alignment horizontal="center" vertical="center"/>
    </xf>
    <xf fontId="8" fillId="3" borderId="23" numFmtId="0" xfId="0" applyFont="1" applyFill="1" applyBorder="1" applyAlignment="1">
      <alignment horizontal="right" vertical="center"/>
    </xf>
    <xf fontId="10" fillId="3" borderId="23" numFmtId="165" xfId="1" applyNumberFormat="1" applyFont="1" applyFill="1" applyBorder="1" applyAlignment="1">
      <alignment horizontal="center" vertical="center"/>
    </xf>
    <xf fontId="8" fillId="0" borderId="8" numFmtId="0" xfId="0" applyFont="1" applyBorder="1"/>
    <xf fontId="16" fillId="6" borderId="50" numFmtId="0" xfId="0" applyFont="1" applyFill="1" applyBorder="1" applyAlignment="1">
      <alignment horizontal="right" vertical="center" wrapText="1"/>
    </xf>
    <xf fontId="18" fillId="3" borderId="51" numFmtId="165" xfId="1" applyNumberFormat="1" applyFont="1" applyFill="1" applyBorder="1" applyAlignment="1">
      <alignment horizontal="center" vertical="center"/>
      <protection locked="0"/>
    </xf>
    <xf fontId="21" fillId="3" borderId="0" numFmtId="0" xfId="0" applyFont="1" applyFill="1" applyAlignment="1">
      <alignment wrapText="1"/>
    </xf>
    <xf fontId="21" fillId="3" borderId="23" numFmtId="0" xfId="0" applyFont="1" applyFill="1" applyBorder="1" applyAlignment="1">
      <alignment horizontal="right" vertical="center" wrapText="1"/>
    </xf>
    <xf fontId="22" fillId="3" borderId="0" numFmtId="9" xfId="0" applyNumberFormat="1" applyFont="1" applyFill="1"/>
    <xf fontId="22" fillId="3" borderId="0" numFmtId="0" xfId="0" applyFont="1" applyFill="1"/>
    <xf fontId="8" fillId="3" borderId="8" numFmtId="0" xfId="0" applyFont="1" applyFill="1" applyBorder="1"/>
    <xf fontId="23" fillId="6" borderId="26" numFmtId="0" xfId="0" applyFont="1" applyFill="1" applyBorder="1" applyAlignment="1">
      <alignment horizontal="left" vertical="center"/>
    </xf>
    <xf fontId="23" fillId="6" borderId="23" numFmtId="0" xfId="0" applyFont="1" applyFill="1" applyBorder="1" applyAlignment="1">
      <alignment horizontal="left" vertical="center"/>
    </xf>
    <xf fontId="23" fillId="6" borderId="27" numFmtId="0" xfId="0" applyFont="1" applyFill="1" applyBorder="1" applyAlignment="1">
      <alignment horizontal="left" vertical="center"/>
    </xf>
    <xf fontId="18" fillId="0" borderId="26" numFmtId="0" xfId="0" applyFont="1" applyBorder="1" applyAlignment="1">
      <alignment horizontal="left" vertical="center"/>
    </xf>
    <xf fontId="18" fillId="0" borderId="23" numFmtId="0" xfId="0" applyFont="1" applyBorder="1" applyAlignment="1">
      <alignment horizontal="left" vertical="center"/>
    </xf>
    <xf fontId="18" fillId="0" borderId="27" numFmtId="0" xfId="0" applyFont="1" applyBorder="1" applyAlignment="1">
      <alignment horizontal="left" vertical="center"/>
    </xf>
    <xf fontId="12" fillId="3" borderId="26" numFmtId="0" xfId="0" applyFont="1" applyFill="1" applyBorder="1" applyAlignment="1">
      <alignment horizontal="left" vertical="top"/>
      <protection locked="0"/>
    </xf>
    <xf fontId="12" fillId="3" borderId="23" numFmtId="0" xfId="0" applyFont="1" applyFill="1" applyBorder="1" applyAlignment="1">
      <alignment horizontal="left" vertical="top"/>
      <protection locked="0"/>
    </xf>
    <xf fontId="12" fillId="3" borderId="27" numFmtId="0" xfId="0" applyFont="1" applyFill="1" applyBorder="1" applyAlignment="1">
      <alignment horizontal="left" vertical="top"/>
      <protection locked="0"/>
    </xf>
  </cellXfs>
  <cellStyles count="3">
    <cellStyle name="Normal" xfId="0" builtinId="0"/>
    <cellStyle name="Currency" xfId="1" builtinId="4"/>
    <cellStyle name="Comma" xfId="2" builtinId="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ype="http://schemas.microsoft.com/office/2017/10/relationships/person" Target="persons/person.xml"/><Relationship  Id="rId2" Type="http://schemas.openxmlformats.org/officeDocument/2006/relationships/worksheet" Target="worksheets/sheet1.xml"/><Relationship  Id="rId3" Type="http://schemas.openxmlformats.org/officeDocument/2006/relationships/theme" Target="theme/theme1.xml"/><Relationship  Id="rId4" Type="http://schemas.openxmlformats.org/officeDocument/2006/relationships/sharedStrings" Target="sharedStrings.xml"/><Relationship  Id="rId5" Type="http://schemas.openxmlformats.org/officeDocument/2006/relationships/styles" Target="styles.xml"/></Relationships>
</file>

<file path=xl/persons/person.xml><?xml version="1.0" encoding="utf-8"?>
<personList xmlns="http://schemas.microsoft.com/office/spreadsheetml/2018/threadedcomments" xmlns:x="http://schemas.openxmlformats.org/spreadsheetml/2006/main">
  <person displayName="tc={008C007E-0023-4F06-A3B3-004C00380013}" id="{5ADDB92E-32B2-81F5-B0B9-6CC67C02872D}"/>
  <person displayName="tc={000A0034-008D-4F81-B648-007800350074}" id="{D4431078-688D-C7FD-D275-3202B0C49A6B}"/>
  <person displayName="tc={00410082-006F-446F-AB02-00A900AB0075}" id="{8DDBCFC0-3009-6FAA-25DC-0A62D7BD46E0}"/>
  <person displayName="tc={00AF0088-00C3-44F0-9579-00E800BB008E}" id="{5C135379-EE25-534F-E829-F2EC2DFD66AE}"/>
  <person displayName="tc={002900DC-007D-4F15-904A-00E600880094}" id="{8DD8BDCC-C856-D199-10EC-646E8FACB2F0}"/>
  <person displayName="tc={00540021-003C-492A-B2FD-005F00F90049}" id="{D26F1070-EE3C-E553-B89A-A57B512CEFD6}"/>
  <person displayName="tc={00D000E8-00D5-4F68-97B4-007A00E1000F}" id="{D9DDE86D-F04E-69D6-BB7E-E2CA6679019A}"/>
  <person displayName="tc={00A100FD-00DA-43A9-9597-005C00B10024}" id="{67DEC394-6A1B-C35C-E683-CBEB3F78BB56}"/>
  <person displayName="tc={00430049-00F8-4F7E-8CBF-008D00D300FA}" id="{A1369499-D873-054B-5741-C87840916A2B}"/>
  <person displayName="tc={003D00C9-005D-4302-98A2-001100700003}" id="{9F229142-21B2-0DD2-DB8C-3EE915C1F6CF}"/>
  <person displayName="tc={001400D8-0082-4168-89A2-00DC004C0084}" id="{DCFDB8C0-9116-0694-8509-83EA0FA27AF9}"/>
  <person displayName="tc={0059000A-00A0-4A23-A0BD-00C300BE0010}" id="{2AE53E4D-DA7B-C1C5-6A3D-3AF2C798BCC4}"/>
  <person displayName="tc={008E0068-0086-408D-AF6C-008A00FB0035}" id="{B503C0E1-A323-9BA7-9387-E5727E5298B7}"/>
  <person displayName="tc={00A40077-0088-470B-9B0A-003D00D5002C}" id="{36D6CEA9-C02A-9B52-630E-923BD3F4F011}"/>
  <person displayName="tc={00900010-00DE-49B2-85BB-00FC00C300A3}" id="{EFF75294-DC59-48EA-87AD-A96688202FF3}"/>
  <person displayName="tc={00CA00DF-0022-42D1-ACE6-0078005D003D}" id="{7D246A04-F9BB-BA75-A6C4-6ED561E37B63}"/>
  <person displayName="tc={001D00CE-0016-4306-B87C-00FF00550024}" id="{CDAC266F-F44A-209C-B211-18EFB3732F63}"/>
  <person displayName="tc={00F4007C-0098-4D8E-8DCC-000200750039}" id="{A10F32A3-354D-04E6-9C03-B9843753C442}"/>
  <person displayName="tc={00D5004E-003A-4E51-AAD5-00D900650090}" id="{9CB4320C-C04E-7357-7322-C9A785D23591}"/>
  <person displayName="tc={005A0090-00B9-433D-B11B-00D600DF006A}" id="{B71E1A47-7DC7-E68A-A69D-7840023D80AA}"/>
  <person displayName="tc={001F00E3-00B3-40F1-BFEC-00620040007D}" id="{5A3397C9-5BD7-A124-AF4B-ED4A3C4B46E3}"/>
  <person displayName="tc={004400BD-002C-4741-B2D4-0078000A0074}" id="{24A08BC2-1A2C-773B-8782-708227408A32}"/>
  <person displayName="tc={00EF00E6-000B-45B5-B026-00260062006D}" id="{A9AF69EF-99F5-4C2D-ADF3-144C08CEB9F9}"/>
  <person displayName="tc={00C800FB-009E-400A-8779-000F0092007A}" id="{A0DA9740-EE28-073B-8AD1-CEC98CC8C67B}"/>
  <person displayName="tc={007B00EF-0012-42B0-A029-00EC00880021}" id="{242CB47D-4461-6AAF-6882-F94EE70C0695}"/>
  <person displayName="tc={003A0085-00FC-474A-B7D2-0006005600DC}" id="{6234FFDB-413D-20B9-2AAF-C0E2E4FC108D}"/>
  <person displayName="tc={003900D8-00D3-4931-B0DA-00BD00B0009A}" id="{EB5AE7A3-583E-CBCD-D2D9-2AD488F11A34}"/>
  <person displayName="tc={00DC00BA-009D-45CB-8F5C-00E200170018}" id="{C52988BF-0B7C-00D8-7F03-E8B5462341F4}"/>
  <person displayName="tc={007E009F-0072-4832-93F2-00F30042007A}" id="{939DEE0E-7F8C-F61C-4CF7-F15E620B713A}"/>
  <person displayName="tc={003000D4-0074-49F1-B0E3-00040071003C}" id="{72DFA2E8-0878-8E5E-6D2B-7A90C369AAE8}"/>
  <person displayName="tc={005A00ED-00FB-404E-8518-00E60039001E}" id="{DBA11442-10FF-EE8A-D555-C6C849030DA8}"/>
  <person displayName="tc={008D00E5-00EC-4ABC-8233-000E009B0075}" id="{40A7C497-7DBE-C071-3EA9-B1E62E8707AD}"/>
  <person displayName="tc={00C300A0-0006-4B87-9CD2-000D0098004C}" id="{BC45C51C-51A3-CC46-FF90-EC44917520BA}"/>
  <person displayName="tc={00D000B9-00AC-4796-AEFE-0019002800F9}" id="{584BA564-711D-2F30-5AA4-0D5A962F9EF6}"/>
  <person displayName="tc={00A20063-004F-4A97-904E-002A00770042}" id="{2A8DC488-1D22-2EAC-F747-5F716C6D0AFA}"/>
  <person displayName="tc={00AA00A1-00C1-456E-96A5-00CB00D700E2}" id="{A1F63897-8710-FFE0-5084-F3995215C611}"/>
  <person displayName="tc={005B00CD-00BA-42B5-A4A0-009B003F0006}" id="{367795BA-8CF5-CD27-4B3E-1943E258DC6E}"/>
  <person displayName="tc={003900E1-00A3-457B-8682-00FD006500B7}" id="{2E8A5410-902F-9314-5BBB-3B5544EBF69C}"/>
  <person displayName="tc={00E8000B-00BA-4BCA-87AE-008F00D3006B}" id="{ADC288D6-5E41-C40B-DB59-847AFC7EF6A8}"/>
  <person displayName="tc={00B700D2-00F4-487F-825A-008900B60054}" id="{1E0BF4D1-F8FC-6032-B259-8D8FA9493DEF}"/>
  <person displayName="tc={00FB00ED-00E9-4692-8907-00E800E30001}" id="{03D32DA8-38F4-9CA8-ACE4-497DA1BDB297}"/>
  <person displayName="tc={008C00EB-0093-4B2F-A57D-0041005400F3}" id="{E12E19DC-8C81-662A-FBDD-5E888BB16CB0}"/>
  <person displayName="tc={004700AB-00D3-4A36-8747-003A00A60021}" id="{A7677CC0-055F-8232-962E-C7CC8F46142E}"/>
  <person displayName="tc={00AE0015-0057-4B36-882A-00CD00C700D0}" id="{51A0C48A-A562-18EC-49B9-920A1EDA2769}"/>
  <person displayName="tc={00A100F9-0096-4A73-A8ED-00A8002D00D7}" id="{6BE33B87-D988-CDAF-D490-5183367C86A8}"/>
  <person displayName="tc={00B300CE-00DB-431F-86D6-0008005400A4}" id="{D072FE48-633D-D73A-9247-41D356CC9615}"/>
  <person displayName="tc={006A003E-006E-43A3-8898-00DB00C00037}" id="{6AD293EC-64C6-D804-4F92-C39676BD8CC0}"/>
  <person displayName="tc={00CE00C5-00FA-4A9A-9A2C-00A5001B0080}" id="{0B403B9B-994C-7461-4091-1DBD577A7595}"/>
  <person displayName="tc={00EB0035-0010-4B54-9B49-00FC00B200E7}" id="{781A02A7-ECD1-735B-AD45-468D1F3726B4}"/>
  <person displayName="tc={00530034-00A2-4256-9DF1-000D00F800C4}" id="{152C4C1B-57D5-391B-F772-FE12EF769CCC}"/>
  <person displayName="tc={009900B9-0088-49D9-B4E4-0015000300E7}" id="{686AAE6A-2C12-D79C-B2FF-AC108B2CCEBF}"/>
  <person displayName="tc={00D70092-00FF-4E47-9229-00E8000A0012}" id="{519602B8-6B48-E517-B296-88656AD96909}"/>
  <person displayName="tc={002900E1-0025-42C1-B58D-006E00ED007A}" id="{2439759D-C14F-4274-FA99-56A8AC3FB558}"/>
  <person displayName="tc={0030009A-007E-459C-AB1B-002100AD004A}" id="{152F39DF-8DBA-1640-0F51-42F98A9EB4D1}"/>
  <person displayName="tc={00900007-0072-44DF-99A9-009100EF001F}" id="{3B1A6386-4FBA-EB8E-491B-5094992EB105}"/>
  <person displayName="tc={00720044-00CC-42C7-A14B-00E0007E008D}" id="{7CF0F5BC-D365-A81E-08F6-931A60995547}"/>
  <person displayName="tc={000200C3-003D-4A43-89DE-004600C60098}" id="{751E8703-8305-B06B-AB6F-3E7768550FF0}"/>
  <person displayName="tc={00F200C9-00D7-4378-817E-008D005A003C}" id="{D048F121-4FA5-B0F5-2CF9-4E676FBCD0F7}"/>
  <person displayName="tc={00F600F0-0092-483E-AB11-0096006E00E6}" id="{5C681748-F27F-2BA7-7E25-3586267A6BE1}"/>
  <person displayName="tc={004600A3-00CB-48A0-BCBA-00D3005E00F9}" id="{25B379C8-AC8E-9298-7ACF-5C70A67B4D07}"/>
  <person displayName="tc={001F00A5-00C0-4F61-AE66-00CB0025004A}" id="{A0FEF9E8-1A7C-9207-8C9D-1E8BCD64D4A1}"/>
  <person displayName="tc={0042008A-0015-4672-B844-009A00E700A4}" id="{5B9B31FB-5AB2-90B4-96BB-A8A9F5BBE9DF}"/>
  <person displayName="tc={0073003B-0052-4B7D-A143-006D00680045}" id="{CC42CBC4-0577-CC8A-A76C-305F2D82311C}"/>
  <person displayName="tc={00FC0076-0062-445D-9D9E-000A0092005F}" id="{408B55F8-08F0-D2E3-FAC6-CAC5E9A78868}"/>
  <person displayName="tc={0027004D-0016-43A3-BD4E-004600F20097}" id="{E09600ED-2D0B-A0BD-8264-60B6E1046853}"/>
  <person displayName="tc={00C800A3-00A0-4D12-AA90-008D003B0089}" id="{0CCEB776-C9AC-1457-F7E2-88AC22FEFDB7}"/>
  <person displayName="tc={00B100B2-0019-4A24-B868-005F00C30043}" id="{535B4AB3-55D5-EA5B-6CA7-B4A49E37E190}"/>
  <person displayName="tc={003B0087-00FB-4E83-811E-00CD000100C6}" id="{35B918B5-8B50-BBFB-3700-CB2CAF8E5251}"/>
  <person displayName="tc={00C30083-00A7-4C91-94BB-00FF00150088}" id="{08634309-F9D0-E6C0-EC54-67D782D98B42}"/>
  <person displayName="tc={002B00DC-00E0-49E1-B78E-00B1004000F4}" id="{7D1091B0-330E-D353-668D-D7D950879D95}"/>
  <person displayName="tc={0055001B-004E-43BB-B0A8-00B2006800E8}" id="{2EF0C0DA-CF16-341B-A4CF-77788E3921B2}"/>
</personList>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明朝"/>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eme/theme1.xml><?xml version="1.0" encoding="utf-8"?>
<a:theme xmlns:a="http://schemas.openxmlformats.org/drawingml/2006/main" xmlns:r="http://schemas.openxmlformats.org/officeDocument/2006/relationships" xmlns:p="http://schemas.openxmlformats.org/presentationml/2006/main" name="Office Theme">
  <a:themeElements>
    <a:clrScheme name="New 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Arial"/>
        <a:cs typeface="Arial"/>
      </a:majorFont>
      <a:minorFont>
        <a:latin typeface="Calibri"/>
        <a:ea typeface="Arial"/>
        <a:cs typeface="Arial"/>
      </a:minorFont>
    </a:fontScheme>
    <a:fmtScheme name="Office">
      <a:fillStyleLst>
        <a:solidFill>
          <a:schemeClr val="phClr"/>
        </a:solidFill>
        <a:gradFill>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threadedComments/threadedComment1.xml><?xml version="1.0" encoding="utf-8"?>
<ThreadedComments xmlns="http://schemas.microsoft.com/office/spreadsheetml/2018/threadedcomments" xmlns:x="http://schemas.openxmlformats.org/spreadsheetml/2006/main">
  <threadedComment ref="A21" personId="{5addb92e-32b2-81f5-b0b9-6cc67c02872d}" id="{882d51af-3269-1bf7-4b31-3a1fe6104ee7}" done="0">
    <text xml:space="preserve">Explanation:
Your forecast will run for 12-months from the start month you choose. This may be the month you expect to start your business or, if you have already started trading, the month you would like to receive the loan, if successful.
Click on the cell to reveal a drop down list.
</text>
  </threadedComment>
  <threadedComment ref="A23" personId="{d4431078-688d-c7fd-d275-3202b0c49a6b}" id="{f371b72e-01bb-4eff-94b7-498a70678990}" done="0">
    <text xml:space="preserve">Explanation
This is where you list any money that you have coming in to your business such as product or service sales, equity or other investments and your Start Up Loan.
The number of items you include will depend on your business model, but a typical revenue section usually includes between three and six items. If any of the pre-listed items are not relevant to your business, simply mark '0' in in the value field; and equally, if there are any items missing from the list, you can add them in the free fields at the bottom of the table.
</text>
  </threadedComment>
  <threadedComment ref="B23" personId="{8ddbcfc0-3009-6faa-25dc-0a62d7bd46e0}" id="{f7502d59-83b0-d240-5c48-7c39ef60fd2b}" done="0">
    <text xml:space="preserve">Explanation:
Add a brief description for any items to help your Business Adviser understand each cash in-flow.
</text>
  </threadedComment>
  <threadedComment ref="P23" personId="{8dd8bdcc-c856-d199-10ec-646e8facb2f0}" id="{1b68213d-f6f6-f657-fa35-a6d00303f1e9}" done="0">
    <text xml:space="preserve">Explanation:
This column will give you the 12-month total for each of your cash in-flows.
</text>
  </threadedComment>
  <threadedComment ref="C23" personId="{5c135379-ee25-534f-e829-f2ec2dfd66ae}" id="{634663f2-d2b3-3a7d-3e3b-991cb0d723cc}" done="0">
    <text xml:space="preserve">Explanation:
Enter any money that you have prior to starting your 12-month forecast in this column. Leave it blank if this does not apply to some/any of your items.
</text>
  </threadedComment>
  <threadedComment ref="A24" personId="{d26f1070-ee3c-e553-b89a-a57b512cefd6}" id="{301ab3af-bfe9-fbaa-859d-261c589fa9f2}" done="0">
    <text xml:space="preserve">Explanation:
This is value of the sales you anticipate making in the next 12-months.
This row will auto-populate based on the figures you entered in the 'Sales Assumption' tab so there is no need to update these cells.
</text>
  </threadedComment>
  <threadedComment ref="K24" personId="{2ae53e4d-da7b-c1c5-6a3d-3af2c798bcc4}" id="{4f2a1241-44bf-d498-0ea2-c11a8d4815f4}" done="0">
    <text xml:space="preserve">Explanation:
This row will auto-populate based on the figures you entered in the 'Sales Assumption' tab so there is no need to update these cells.
</text>
  </threadedComment>
  <threadedComment ref="L24" personId="{b503c0e1-a323-9ba7-9387-e5727e5298b7}" id="{b9bd068f-f1c0-5629-2808-14d6a02e9dba}" done="0">
    <text xml:space="preserve">Explanation:
This row will auto-populate based on the figures you entered in the 'Sales Assumption' tab so there is no need to update these cells.
</text>
  </threadedComment>
  <threadedComment ref="M24" personId="{36d6cea9-c02a-9b52-630e-923bd3f4f011}" id="{9f58acf7-774a-dbb2-4396-b55c51337c6a}" done="0">
    <text xml:space="preserve">Explanation:
This row will auto-populate based on the figures you entered in the 'Sales Assumption' tab so there is no need to update these cells.
</text>
  </threadedComment>
  <threadedComment ref="N24" personId="{eff75294-dc59-48ea-87ad-a96688202ff3}" id="{ff35b7df-1374-6ae7-2864-78e270dde45f}" done="0">
    <text xml:space="preserve">Explanation:
This row will auto-populate based on the figures you entered in the 'Sales Assumption' tab so there is no need to update these cells.
</text>
  </threadedComment>
  <threadedComment ref="O24" personId="{7d246a04-f9bb-ba75-a6c4-6ed561e37b63}" id="{9239f211-c845-074f-71ae-15b52f4914af}" done="0">
    <text xml:space="preserve">Explanation:
This row will auto-populate based on the figures you entered in the 'Sales Assumption' tab so there is no need to update these cells.
</text>
  </threadedComment>
  <threadedComment ref="D24" personId="{d9dde86d-f04e-69d6-bb7e-e2ca6679019a}" id="{3ae576e4-ca1e-55a3-ec97-b3162a9c0046}" done="0">
    <text xml:space="preserve">Explanation:
This row will auto-populate based on the figures you entered in the 'Sales Assumption' tab so there is no need to update these cells.
</text>
  </threadedComment>
  <threadedComment ref="G24" personId="{67dec394-6a1b-c35c-e683-cbeb3f78bb56}" id="{ca82f6b1-ebfe-bcc6-0ad2-abf9eed412a1}" done="0">
    <text xml:space="preserve">Explanation:
This row will auto-populate based on the figures you entered in the 'Sales Assumption' tab so there is no need to update these cells.
</text>
  </threadedComment>
  <threadedComment ref="H24" personId="{a1369499-d873-054b-5741-c87840916a2b}" id="{0d7b761e-67cd-d103-48b9-6ba9fa5b3974}" done="0">
    <text xml:space="preserve">Explanation:
This row will auto-populate based on the figures you entered in the 'Sales Assumption' tab so there is no need to update these cells.
</text>
  </threadedComment>
  <threadedComment ref="I24" personId="{9f229142-21b2-0dd2-db8c-3ee915c1f6cf}" id="{fbb78e0e-b469-79dc-21c9-b1051b3ca13e}" done="0">
    <text xml:space="preserve">Explanation:
This row will auto-populate based on the figures you entered in the 'Sales Assumption' tab so there is no need to update these cells.
</text>
  </threadedComment>
  <threadedComment ref="J24" personId="{dcfdb8c0-9116-0694-8509-83ea0fa27af9}" id="{3182d2cf-055a-7452-681f-336e0cf3edd5}" done="0">
    <text xml:space="preserve">Explanation:
This row will auto-populate based on the figures you entered in the 'Sales Assumption' tab so there is no need to update these cells.
</text>
  </threadedComment>
  <threadedComment ref="A26" personId="{cdac266f-f44a-209c-b211-18efb3732f63}" id="{e5990929-1305-2dbe-2b28-4c8ac32f72e7}" done="0">
    <text xml:space="preserve">Explanation:
This might be money that you have personally put into the business or money that your business partners, private investors or other individuals have contributed. This could also be money that you have been gifted or inherited.
</text>
  </threadedComment>
  <threadedComment ref="A27" personId="{a10f32a3-354d-04e6-9c03-b9843753c442}" id="{38cf6407-3771-fb48-8e62-9033830e9cdb}" done="0">
    <text xml:space="preserve">Explanation:
An asset is an item or resource with value that you own and control and which has the potential to help you generate cash flow, reduce expenses or improve your sales in the future. 
For example, this could be a vehicle, equipment or raw stock that you have purchased to produce your goods and/or services. 
Please note, in order to balance this source of revenue, it will also be automatically reflected in the cash out-flows section of your cash flow forecast down below. That's because any value coming into the business has to have come out of somewhere.
</text>
  </threadedComment>
  <threadedComment ref="A28" personId="{9cb4320c-c04e-7357-7322-c9a785d23591}" id="{5caf605a-ebb2-9c14-fb1e-835ef20c1bf4}" done="0">
    <text xml:space="preserve">Explanation:
Use these fields if your business has any other income or cash in-flows that are not covered in the above. 
Provide a description of these items in the next field.
</text>
  </threadedComment>
  <threadedComment ref="A29" personId="{b71e1a47-7dc7-e68a-a69d-7840023d80aa}" id="{1559d2dc-baa2-d59f-9ff9-099eafa1bce2}" done="0">
    <text xml:space="preserve">Explanation:
Use these fields if your business has any other income or cash in-flows that are not covered in the above. 
Provide a description of these items in the next field.
</text>
  </threadedComment>
  <threadedComment ref="A30" personId="{5a3397c9-5bd7-a124-af4b-ed4a3c4b46e3}" id="{62661412-6e4d-5f67-cfcb-58834a1f4a39}" done="0">
    <text xml:space="preserve">Explanation:
Use these fields if your business has any other income or cash in-flows that are not covered in the above. 
Provide a description of these items in the next field.
</text>
  </threadedComment>
  <threadedComment ref="A31" personId="{24a08bc2-1a2c-773b-8782-708227408a32}" id="{5afdfb06-e9b9-ab1c-97bd-9e698185e3d1}" done="0">
    <text xml:space="preserve">Explanation:
Use these fields if your business has any other income or cash in-flows that are not covered in the above. 
Provide a description of these items in the next field.
</text>
  </threadedComment>
  <threadedComment ref="A32" personId="{a9af69ef-99f5-4c2d-adf3-144c08ceb9f9}" id="{1a016af7-264a-8326-9d49-8d2a0adfbead}" done="0">
    <text xml:space="preserve">Explanation:
Use these fields if your business has any other income or cash in-flows that are not covered in the above. 
Provide a description of these items in the next field.
</text>
  </threadedComment>
  <threadedComment ref="A33" personId="{a0da9740-ee28-073b-8ad1-cec98cc8c67b}" id="{446e22c4-2eda-d01d-32c0-5bf5e2063d70}" done="0">
    <text xml:space="preserve">Explanation:
Use these fields if your business has any other income or cash in-flows that are not covered in the above. 
Provide a description of these items in the next field.
</text>
  </threadedComment>
  <threadedComment ref="A34" personId="{242cb47d-4461-6aaf-6882-f94ee70c0695}" id="{ae850658-0f17-3c29-d172-e8afe9b4837e}" done="0">
    <text xml:space="preserve">Explanation:
Use these fields if your business has any other income or cash in-flows that are not covered in the above. 
Provide a description of these items in the next field.
</text>
  </threadedComment>
  <threadedComment ref="A35" personId="{6234ffdb-413d-20b9-2aaf-c0e2e4fc108d}" id="{73265cac-29c5-69dd-3c45-0292a3a478ce}" done="0">
    <text xml:space="preserve">Explanation:
Your total cash in-flow is made up of all your individual sources of revenue added together.
</text>
  </threadedComment>
  <threadedComment ref="A39" personId="{eb5ae7a3-583e-cbcd-d2d9-2ad488f11a34}" id="{ac3d8698-9b3d-e95e-ea6c-134758a61ed8}" done="0">
    <text xml:space="preserve">Explanation:
This is where you list any of the costs your business incurs, how frequently it incurs them and when these costs will take place. 
The number of items you include will depend on your business model.
If any of the pre-listed items are not relevant to your business, simply mark '0' in in the value field; and equally, if there are any items missing from the list, you can add them in the free fields at the bottom of the table.
</text>
  </threadedComment>
  <threadedComment ref="B39" personId="{c52988bf-0b7c-00d8-7f03-e8b5462341f4}" id="{1637cc03-32bd-a4be-7eea-98b3d3b9235f}" done="0">
    <text xml:space="preserve">Explanation:
Add a brief description for any items to help your Business Adviser understand each cash out-flow.
</text>
  </threadedComment>
  <threadedComment ref="P39" personId="{72dfa2e8-0878-8e5e-6d2b-7a90c369aae8}" id="{aaed5316-baa9-6a6d-4652-32c815638106}" done="0">
    <text xml:space="preserve">Explanation:
This column will give you the 12-month total for each of your cash out-flows.
</text>
  </threadedComment>
  <threadedComment ref="C39" personId="{939dee0e-7f8c-f61c-4cf7-f15e620b713a}" id="{5855cac1-58d0-ab89-3415-d090ad9d2ba4}" done="0">
    <text xml:space="preserve">Explanation:
Enter any expenses that you have prior to starting your 12-month forecast in this column. Leave it blank if this does not apply to some/any of your items.
</text>
  </threadedComment>
  <threadedComment ref="A40" personId="{dba11442-10ff-ee8a-d555-c6c849030da8}" id="{f01c77f3-bede-b77e-7b53-84a0a9f23036}" done="0">
    <text xml:space="preserve">Explanation:
This is costs you expect to incur in order to produce all of your anticipated sales for the next 12-months. 
This row will auto-populate based on the figures you entered in the 'Sales Assumption' tab so there is no need to update these cells.
</text>
  </threadedComment>
  <threadedComment ref="K40" personId="{adc288d6-5e41-c40b-db59-847afc7ef6a8}" id="{2ed74b0b-3d71-2cc8-626d-b729ca96166b}" done="0">
    <text xml:space="preserve">Explanation:
This row will auto-populate based on the figures you entered in the 'Sales Assumption' tab so there is no need to update these cells.
</text>
  </threadedComment>
  <threadedComment ref="L40" personId="{1e0bf4d1-f8fc-6032-b259-8d8fa9493def}" id="{8417ebe6-7ea4-4304-6f96-e87b7b4e0b43}" done="0">
    <text xml:space="preserve">Explanation:
This row will auto-populate based on the figures you entered in the 'Sales Assumption' tab so there is no need to update these cells.
</text>
  </threadedComment>
  <threadedComment ref="M40" personId="{03d32da8-38f4-9ca8-ace4-497da1bdb297}" id="{53ff781a-2a83-ceb6-a0a7-06f3fc9e3ffd}" done="0">
    <text xml:space="preserve">Explanation:
This row will auto-populate based on the figures you entered in the 'Sales Assumption' tab so there is no need to update these cells.
</text>
  </threadedComment>
  <threadedComment ref="N40" personId="{e12e19dc-8c81-662a-fbdd-5e888bb16cb0}" id="{f5220219-14c2-7a7f-380e-14538249b9ab}" done="0">
    <text xml:space="preserve">Explanation:
This row will auto-populate based on the figures you entered in the 'Sales Assumption' tab so there is no need to update these cells.
</text>
  </threadedComment>
  <threadedComment ref="O40" personId="{a7677cc0-055f-8232-962e-c7cc8f46142e}" id="{3aeab38a-d7b4-e210-e230-cfab656d48bc}" done="0">
    <text xml:space="preserve">Explanation:
This row will auto-populate based on the figures you entered in the 'Sales Assumption' tab so there is no need to update these cells.
</text>
  </threadedComment>
  <threadedComment ref="D40" personId="{40a7c497-7dbe-c071-3ea9-b1e62e8707ad}" id="{5b2d23fe-34dc-be59-9656-f43d8adc2074}" done="0">
    <text xml:space="preserve">Explanation:
This row will auto-populate based on the figures you entered in the 'Sales Assumption' tab so there is no need to update these cells.
</text>
  </threadedComment>
  <threadedComment ref="E40" personId="{bc45c51c-51a3-cc46-ff90-ec44917520ba}" id="{6df50f23-655e-5df7-16ad-befdd0bc96e1}" done="0">
    <text xml:space="preserve">Explanation:
This row will auto-populate based on the figures you entered in the 'Sales Assumption' tab so there is no need to update these cells.
</text>
  </threadedComment>
  <threadedComment ref="F40" personId="{584ba564-711d-2f30-5aa4-0d5a962f9ef6}" id="{ae2bba9e-dc11-722d-c83a-2b12b5c4f6a8}" done="0">
    <text xml:space="preserve">Explanation:
This row will auto-populate based on the figures you entered in the 'Sales Assumption' tab so there is no need to update these cells.
</text>
  </threadedComment>
  <threadedComment ref="G40" personId="{2a8dc488-1d22-2eac-f747-5f716c6d0afa}" id="{c51ffbb3-ee99-6a9b-f5f0-d0917c62837a}" done="0">
    <text xml:space="preserve">Explanation:
This row will auto-populate based on the figures you entered in the 'Sales Assumption' tab so there is no need to update these cells.
</text>
  </threadedComment>
  <threadedComment ref="H40" personId="{a1f63897-8710-ffe0-5084-f3995215c611}" id="{e1dcf7b9-90b3-b661-1de8-3b67359c5c7d}" done="0">
    <text xml:space="preserve">Explanation:
This row will auto-populate based on the figures you entered in the 'Sales Assumption' tab so there is no need to update these cells.
</text>
  </threadedComment>
  <threadedComment ref="I40" personId="{367795ba-8cf5-cd27-4b3e-1943e258dc6e}" id="{df1bac1b-7e7f-abcb-a67c-0d1077507e9d}" done="0">
    <text xml:space="preserve">Explanation:
This row will auto-populate based on the figures you entered in the 'Sales Assumption' tab so there is no need to update these cells.
</text>
  </threadedComment>
  <threadedComment ref="J40" personId="{2e8a5410-902f-9314-5bbb-3b5544ebf69c}" id="{2e42492d-90b7-6953-d2d3-8319d4a91e88}" done="0">
    <text xml:space="preserve">Explanation:
This row will auto-populate based on the figures you entered in the 'Sales Assumption' tab so there is no need to update these cells.
</text>
  </threadedComment>
  <threadedComment ref="A41" personId="{51a0c48a-a562-18ec-49b9-920a1eda2769}" id="{104227df-22ef-c507-2eb9-53fac1bc6b74}" done="0">
    <text xml:space="preserve">Explanation:
Any assets or resources with value that you own and control and have the potential to help you generate cash flow, reduce expenses or improve your sales in the future need to be reflected in both your cash in-flows and cash-out flows. 
The first cell in this row (highlighted in green) is automatically populated based on what you entered in the cash in-flows section above. 
</text>
  </threadedComment>
  <threadedComment ref="C41" personId="{6be33b87-d988-cdaf-d490-5183367c86a8}" id="{a6932d2a-b3dd-d894-6c88-b67b25f9cf9a}" done="0">
    <text xml:space="preserve">Explanation:
This is automatically populated based on the total amount of existing assets you declared above in order to balance your books.
</text>
  </threadedComment>
  <threadedComment ref="A42" personId="{d072fe48-633d-d73a-9247-41d356cc9615}" id="{6809d84c-d9c6-40b0-67fb-05262d615d77}" done="0">
    <text xml:space="preserve">Explanation:
You may be leasing your own venue, paying a membership fee to a hotdesking work hub, or working in a retail space. What cost do you incur to do this each month?
</text>
  </threadedComment>
  <threadedComment ref="A43" personId="{6ad293ec-64c6-d804-4f92-c39676bd8cc0}" id="{3bb02673-9ce8-c793-0c70-61be9881bcdf}" done="0">
    <text xml:space="preserve">Explanation:
If you have a business premises or work from a home office, then it is likely that you are or will in future have to pay business rates to your local council.
Check with your Local Authority if you're not sure.
</text>
  </threadedComment>
  <threadedComment ref="A44" personId="{0b403b9b-994c-7461-4091-1dbd577a7595}" id="{abaebfe0-7556-6190-cf03-a4b8ea0839b7}" done="0">
    <text xml:space="preserve">Explanation:
You can group all of your utilities together into one monthly line item. 
This might include things like your gas, electricity or water payments you make for your business. 
If you work from your home office, you may be entitled to charge a portion of your utilities expenses against the business.
</text>
  </threadedComment>
  <threadedComment ref="A45" personId="{781a02a7-ecd1-735b-ad45-468d1f3726b4}" id="{a2bdd411-2cbf-30eb-a448-a0dd5b228658}" done="0">
    <text xml:space="preserve">Explanation:
If you haven't already, it is important to consider business insurance to cover you for any range of circumstances that may emerge that are out of your control.
This could be anything from premises, stock or equipment insurance to personal or employee liability insurance.
</text>
  </threadedComment>
  <threadedComment ref="A46" personId="{152c4c1b-57d5-391b-f772-fe12ef769ccc}" id="{9c7d0011-60bd-79df-8a1a-91403ef77edc}" done="0">
    <text xml:space="preserve">Explanation:
Telephone and internet access is likely to be essential for almost every business type. 
Think about all the costs you currently incur or will incur in the next 12-months for this line item across your business, including the cost for each individual staff member if relevant.
</text>
  </threadedComment>
  <threadedComment ref="A47" personId="{686aae6a-2c12-d79c-b2ff-ac108b2ccebf}" id="{5210a8ae-646e-e94a-4779-985a3280ac02}" done="0">
    <text xml:space="preserve">Explanation:
Think about what you have detailed in your business plan. What are the regular marketing and advertising costs that you incur to promote your business and drive sales? 
</text>
  </threadedComment>
  <threadedComment ref="A48" personId="{519602b8-6b48-e517-b296-88656ad96909}" id="{b4026a48-5250-6578-aa06-07446ec6894c}" done="0">
    <text xml:space="preserve">Explanation:
If you use a vehicle to operate your business, how much do you spend each month on fuel, insurance, registration, repairs?
</text>
  </threadedComment>
  <threadedComment ref="A49" personId="{2439759d-c14f-4274-fa99-56a8ac3fb558}" id="{35fc713c-c9c5-c0a5-a9a4-9b7a6d70bfc5}" done="0">
    <text xml:space="preserve">Explanation:
This is the cost of purchasing or leasing equipment to produce your product(s) and/or service(s), or the use of software to support you in delivering your product(s) and/or service(s).
</text>
  </threadedComment>
  <threadedComment ref="A50" personId="{152f39df-8dba-1640-0f51-42f98a9eb4d1}" id="{72b4233f-9e08-bb03-b475-099470f1e367}" done="0">
    <text xml:space="preserve">Explanation:
Every business incurs administrative costs, whether it is postage stamps to send out your product(s) and/or service(s), stationery products for you and your team, or printing facilities.
</text>
  </threadedComment>
  <threadedComment ref="A51" personId="{3b1a6386-4fba-eb8e-491b-5094992eb105}" id="{0e8e5db2-bb19-7969-3f4f-949488887d52}" done="0">
    <text xml:space="preserve">Explanation:
If you run a product based business then you may incur monthly fees for transport and delivery of your goods.
</text>
  </threadedComment>
  <threadedComment ref="A52" personId="{7cf0f5bc-d365-a81e-08f6-931a60995547}" id="{bcd66f2e-18c5-8f5e-e055-aa7f412fb090}" done="0">
    <text xml:space="preserve">Explanation:
Think about any professional services you need to use in order to manage your business. This might be on a retainer or ad-hoc basis.
For example, a lawyer, accountant, designer or marketing consultant.
</text>
  </threadedComment>
  <threadedComment ref="A53" personId="{751e8703-8305-b06b-ab6f-3e7768550ff0}" id="{7f51f8d1-c8f0-a84d-f9a8-74a8b5aa15c3}" done="0">
    <text xml:space="preserve">Explanation:
These cells are designed to auto-populate based on the responses in your Personal Survival Budget (PSB). It will only display figures if your PSB is in deficit, as this means you will require you will need to take more from the business each month in order to meet your personal expenses. 
If your PSB  is in surplus, then these cells will stay blank as this means you are already meeting your personal expenses every month without drawing additional money from your business.
To see whether your PSB is in surplus or deficit, go to the Personal Survival Budget tab and see the final row entitled 'Your monthly balance'.
If you haven't completed your PSB yet, then this will remain blank until you do.
</text>
  </threadedComment>
  <threadedComment ref="D53" personId="{d048f121-4fa5-b0f5-2cf9-4e676fbcd0f7}" id="{79bf3859-14e7-106a-bacb-6b94fe278f8b}" done="0">
    <text xml:space="preserve">Explanation:
These cells are designed to auto-populate based on the responses in your Personal Survival Budget (PSB). It will only display figures if your PSB is in deficit, as this means you will require you will need to take more from the business each month in order to meet your personal expenses. 
If your PSB  is in surplus, then these cells will stay blank as this means you are already meeting your personal expenses every month without drawing additional money from your business.
To see whether your PSB is in surplus or deficit, go to the Personal Survival Budget tab and see the final row entitled 'Your monthly balance'.
If you haven't completed your Personal Survival Budget yet, then this will remain blank until you do.
</text>
  </threadedComment>
  <threadedComment ref="A54" personId="{5c681748-f27f-2ba7-7e25-3586267a6be1}" id="{b5f35f55-2424-b548-b367-622dcf753a3e}" done="0">
    <text xml:space="preserve">Explanation:
This is for any additional money you would like to take from the business as your salary, above and beyond your Personal Survival Budget (PSB) needs. 
For example, if your PSB is currently in surplus (you already have enough money to meet your personal expenses) but you would like to take a further £200 for yourself from the business each month, then this should be added in here.
</text>
  </threadedComment>
  <threadedComment ref="A55" personId="{25b379c8-ac8e-9298-7acf-5c70a67b4d07}" id="{9d66f356-3ca5-c191-8a99-35a53de775ec}" done="0">
    <text xml:space="preserve">Explanation:
If you hire staff, whether full time or part time, then this is where you can reflect the amount of money you spend each month on staff salaries, national insurance contributions and staff pensions etc.
</text>
  </threadedComment>
  <threadedComment ref="A56" personId="{a0fef9e8-1a7c-9207-8c9d-1e8bcd64d4a1}" id="{baa9df04-efd9-7be4-c5c9-2b1a18f98aae}" done="0">
    <text xml:space="preserve">Explanation:
This should be the monthly amount you pay for your Start Up Loan.
</text>
  </threadedComment>
  <threadedComment ref="A58" personId="{5b9b31fb-5ab2-90b4-96bb-a8a9f5bbe9df}" id="{f6502e8f-2091-03e3-6e3b-d3ee4ee2b584}" done="0">
    <text xml:space="preserve">Explanation:
Use these fields if your business has any other expenses or cash out-flows that are not covered in the above. 
Provide a description of these items in the next field.
</text>
  </threadedComment>
  <threadedComment ref="A59" personId="{cc42cbc4-0577-cc8a-a76c-305f2d82311c}" id="{20ea3103-cf0f-3469-a596-ee8da6370d8c}" done="0">
    <text xml:space="preserve">Explanation:
Use these fields if your business has any other expenses or cash out-flows that are not covered in the above. 
Provide a description of these items in the next field.
</text>
  </threadedComment>
  <threadedComment ref="A60" personId="{408b55f8-08f0-d2e3-fac6-cac5e9a78868}" id="{d895b3cd-2bcd-1ed4-1036-eaaca1b3783d}" done="0">
    <text xml:space="preserve">Explanation:
Use these fields if your business has any other expenses or cash out-flows that are not covered in the above. 
Provide a description of these items in the next field.
</text>
  </threadedComment>
  <threadedComment ref="A61" personId="{e09600ed-2d0b-a0bd-8264-60b6e1046853}" id="{6324958d-5d3f-fae7-c89f-3fc4bbc1ffda}" done="0">
    <text xml:space="preserve">Explanation:
Use these fields if your business has any other expenses or cash out-flows that are not covered in the above. 
Provide a description of these items in the next field.
</text>
  </threadedComment>
  <threadedComment ref="A62" personId="{0cceb776-c9ac-1457-f7e2-88ac22fefdb7}" id="{c52f62ad-2dd7-aec6-0e55-80e9af53b1f9}" done="0">
    <text xml:space="preserve">Explanation:
Use these fields if your business has any other expenses or cash out-flows that are not covered in the above. 
Provide a description of these items in the next field.
</text>
  </threadedComment>
  <threadedComment ref="A63" personId="{535b4ab3-55d5-ea5b-6ca7-b4a49e37e190}" id="{d428a997-f208-389a-09cd-7381a0844d47}" done="0">
    <text xml:space="preserve">Explanation:
Your total cash out-flow is made up of all your expenses added together.
</text>
  </threadedComment>
  <threadedComment ref="B65" personId="{35b918b5-8b50-bbfb-3700-cb2caf8e5251}" id="{770b60d9-d001-5d79-1b4d-a6f623dcd238}" done="0">
    <text xml:space="preserve">Explanation:
Your net cash flow tells you the difference between what is coming in and what is going out of your business on a monthly basis.
</text>
  </threadedComment>
  <threadedComment ref="B67" personId="{08634309-f9d0-e6c0-ec54-67d782d98b42}" id="{05a2c7ac-cc92-dbe1-c98b-9e0ad6f89599}" done="0">
    <text xml:space="preserve">Explanation:
This is the amount of money that you have available for your business at the start of each month. You'll see this number will auto-update for each month, based on the previous months' cash flow. 
</text>
  </threadedComment>
  <threadedComment ref="B69" personId="{7d1091b0-330e-d353-668d-d7d950879d95}" id="{46c23f41-f179-4967-070f-530d995ea988}" done="0">
    <text xml:space="preserve">Explanation:
This is your anticipated financial position at the end of each month, once you have brought in all your revenue, paid all your expenses and balanced your books. 
This figure is calculated by adding together whatever money is recorded in your net cash flow for a particular month with the opening balance at the start of that month.
</text>
  </threadedComment>
  <threadedComment ref="B76" personId="{2ef0c0da-cf16-341b-a4cf-77788e3921b2}" id="{f0e94bc5-6fe1-2ab8-14f8-d84e8a63ff88}" done="0">
    <text xml:space="preserve">Explanation:
This is a good place to write any notes that you want your Business Adviser to take into account when reviewing your Cash Flow Forecast.
This might be if something needs further explanation or if you want to more clearly reference a figure back to something in your Business Plan.
</text>
  </threadedComment>
</ThreadedComments>
</file>

<file path=xl/worksheets/_rels/sheet1.xml.rels><?xml version="1.0" encoding="UTF-8" standalone="yes"?><Relationships xmlns="http://schemas.openxmlformats.org/package/2006/relationships"><Relationship  Id="rId1" Type="http://schemas.microsoft.com/office/2017/10/relationships/threadedComment" Target="../threadedComments/threadedComment1.xml"/><Relationship  Id="rId2" Type="http://schemas.openxmlformats.org/officeDocument/2006/relationships/comments" Target="../comments1.xml"/><Relationship  Id="rId3"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zoomScale="100" workbookViewId="0">
      <selection activeCell="A1" activeCellId="0" sqref="A1"/>
    </sheetView>
  </sheetViews>
  <sheetFormatPr defaultRowHeight="14.25"/>
  <sheetData>
    <row r="1" ht="26.25">
      <c r="A1" s="1" t="s">
        <v>0</v>
      </c>
      <c r="B1" s="2"/>
      <c r="C1" s="3"/>
      <c r="D1" s="4"/>
      <c r="E1" s="5"/>
      <c r="F1" s="5"/>
      <c r="G1" s="6"/>
      <c r="H1" s="5"/>
      <c r="I1" s="6"/>
      <c r="J1" s="6"/>
      <c r="K1" s="5"/>
      <c r="L1" s="5"/>
      <c r="M1" s="5"/>
      <c r="N1" s="5"/>
      <c r="O1" s="5"/>
      <c r="P1" s="5"/>
    </row>
    <row r="2" ht="19.5">
      <c r="A2" s="3"/>
      <c r="B2" s="3"/>
      <c r="C2" s="3"/>
      <c r="D2" s="4"/>
      <c r="E2" s="5"/>
      <c r="F2" s="5"/>
      <c r="G2" s="6"/>
      <c r="H2" s="6"/>
      <c r="I2" s="6"/>
      <c r="J2" s="6"/>
      <c r="K2" s="6"/>
      <c r="L2" s="6"/>
      <c r="M2" s="6"/>
      <c r="N2" s="6"/>
      <c r="O2" s="5"/>
      <c r="P2" s="5"/>
    </row>
    <row r="3" ht="16.5">
      <c r="A3" s="7" t="s">
        <v>1</v>
      </c>
      <c r="B3" s="8" t="e">
        <f>IF(ISBLANK(Guidance!$E$3),"",Guidance!$E$3)</f>
        <v>#NAME?</v>
      </c>
      <c r="C3" s="9"/>
      <c r="D3" s="9"/>
      <c r="E3" s="9"/>
      <c r="F3" s="9"/>
      <c r="G3" s="9"/>
      <c r="H3" s="9"/>
      <c r="I3" s="9"/>
      <c r="J3" s="6"/>
      <c r="K3" s="6"/>
      <c r="L3" s="6"/>
      <c r="M3" s="6"/>
      <c r="N3" s="6"/>
      <c r="O3" s="5"/>
      <c r="P3" s="5"/>
    </row>
    <row r="4" ht="16.5">
      <c r="A4" s="7" t="s">
        <v>2</v>
      </c>
      <c r="B4" s="8" t="e">
        <f>IF(ISBLANK(Guidance!$E$4),"",Guidance!$E$4)</f>
        <v>#NAME?</v>
      </c>
      <c r="C4" s="9"/>
      <c r="D4" s="9"/>
      <c r="E4" s="9"/>
      <c r="F4" s="9"/>
      <c r="G4" s="9"/>
      <c r="H4" s="9"/>
      <c r="I4" s="9"/>
      <c r="J4" s="6"/>
      <c r="K4" s="6"/>
      <c r="L4" s="6"/>
      <c r="M4" s="6"/>
      <c r="N4" s="6"/>
      <c r="O4" s="5"/>
      <c r="P4" s="5"/>
    </row>
    <row r="5" ht="19.5">
      <c r="A5" s="10"/>
      <c r="B5" s="10"/>
      <c r="C5" s="10"/>
      <c r="D5" s="11"/>
      <c r="E5" s="12"/>
      <c r="F5" s="12"/>
      <c r="G5" s="13"/>
      <c r="H5" s="13"/>
      <c r="I5" s="13"/>
      <c r="J5" s="13"/>
      <c r="K5" s="13"/>
      <c r="L5" s="13"/>
      <c r="M5" s="6"/>
      <c r="N5" s="6"/>
      <c r="O5" s="5"/>
      <c r="P5" s="5"/>
    </row>
    <row r="6" ht="16.5">
      <c r="A6" s="14" t="s">
        <v>3</v>
      </c>
      <c r="B6" s="15"/>
      <c r="C6" s="15"/>
      <c r="D6" s="15"/>
      <c r="E6" s="15"/>
      <c r="F6" s="15"/>
      <c r="G6" s="15"/>
      <c r="H6" s="15"/>
      <c r="I6" s="15"/>
      <c r="J6" s="15"/>
      <c r="K6" s="15"/>
      <c r="L6" s="16"/>
      <c r="M6" s="17"/>
      <c r="N6" s="17"/>
      <c r="O6" s="17"/>
      <c r="P6" s="6"/>
    </row>
    <row r="7" ht="16.5">
      <c r="A7" s="18"/>
      <c r="B7" s="19"/>
      <c r="C7" s="19"/>
      <c r="D7" s="19"/>
      <c r="E7" s="19"/>
      <c r="F7" s="19"/>
      <c r="G7" s="19"/>
      <c r="H7" s="19"/>
      <c r="I7" s="19"/>
      <c r="J7" s="19"/>
      <c r="K7" s="19"/>
      <c r="L7" s="20"/>
      <c r="M7" s="17"/>
      <c r="N7" s="21"/>
      <c r="O7" s="17"/>
      <c r="P7" s="6"/>
    </row>
    <row r="8" ht="16.5">
      <c r="A8" s="18"/>
      <c r="B8" s="19"/>
      <c r="C8" s="19"/>
      <c r="D8" s="19"/>
      <c r="E8" s="19"/>
      <c r="F8" s="19"/>
      <c r="G8" s="19"/>
      <c r="H8" s="19"/>
      <c r="I8" s="19"/>
      <c r="J8" s="19"/>
      <c r="K8" s="19"/>
      <c r="L8" s="20"/>
      <c r="M8" s="17"/>
      <c r="N8" s="21"/>
      <c r="O8" s="17"/>
      <c r="P8" s="6"/>
    </row>
    <row r="9" ht="14.25">
      <c r="A9" s="18"/>
      <c r="B9" s="19"/>
      <c r="C9" s="19"/>
      <c r="D9" s="19"/>
      <c r="E9" s="19"/>
      <c r="F9" s="19"/>
      <c r="G9" s="19"/>
      <c r="H9" s="19"/>
      <c r="I9" s="19"/>
      <c r="J9" s="19"/>
      <c r="K9" s="19"/>
      <c r="L9" s="20"/>
      <c r="M9" s="17"/>
      <c r="N9" s="17"/>
      <c r="O9" s="17"/>
      <c r="P9" s="17"/>
    </row>
    <row r="10" ht="14.25">
      <c r="A10" s="18"/>
      <c r="B10" s="19"/>
      <c r="C10" s="19"/>
      <c r="D10" s="19"/>
      <c r="E10" s="19"/>
      <c r="F10" s="19"/>
      <c r="G10" s="19"/>
      <c r="H10" s="19"/>
      <c r="I10" s="19"/>
      <c r="J10" s="19"/>
      <c r="K10" s="19"/>
      <c r="L10" s="20"/>
      <c r="M10" s="17"/>
      <c r="N10" s="17"/>
      <c r="O10" s="17"/>
      <c r="P10" s="17"/>
    </row>
    <row r="11" ht="16.5">
      <c r="A11" s="18"/>
      <c r="B11" s="19"/>
      <c r="C11" s="19"/>
      <c r="D11" s="19"/>
      <c r="E11" s="19"/>
      <c r="F11" s="19"/>
      <c r="G11" s="19"/>
      <c r="H11" s="19"/>
      <c r="I11" s="19"/>
      <c r="J11" s="19"/>
      <c r="K11" s="19"/>
      <c r="L11" s="20"/>
      <c r="M11" s="17"/>
      <c r="N11" s="22" t="s">
        <v>4</v>
      </c>
      <c r="O11" s="23"/>
      <c r="P11" s="24"/>
    </row>
    <row r="12" ht="14.25">
      <c r="A12" s="18"/>
      <c r="B12" s="19"/>
      <c r="C12" s="19"/>
      <c r="D12" s="19"/>
      <c r="E12" s="19"/>
      <c r="F12" s="19"/>
      <c r="G12" s="19"/>
      <c r="H12" s="19"/>
      <c r="I12" s="19"/>
      <c r="J12" s="19"/>
      <c r="K12" s="19"/>
      <c r="L12" s="20"/>
      <c r="M12" s="25"/>
      <c r="N12" s="26"/>
      <c r="O12" s="27" t="s">
        <v>5</v>
      </c>
      <c r="P12" s="28"/>
    </row>
    <row r="13" ht="24.75" customHeight="1">
      <c r="A13" s="29"/>
      <c r="B13" s="30"/>
      <c r="C13" s="30"/>
      <c r="D13" s="30"/>
      <c r="E13" s="30"/>
      <c r="F13" s="30"/>
      <c r="G13" s="30"/>
      <c r="H13" s="30"/>
      <c r="I13" s="30"/>
      <c r="J13" s="30"/>
      <c r="K13" s="30"/>
      <c r="L13" s="31"/>
      <c r="M13" s="25"/>
      <c r="N13" s="32"/>
      <c r="O13" s="33" t="s">
        <v>6</v>
      </c>
      <c r="P13" s="34"/>
    </row>
    <row r="14" ht="14.25">
      <c r="A14" s="35"/>
      <c r="B14" s="35"/>
      <c r="C14" s="36"/>
      <c r="D14" s="36"/>
      <c r="E14" s="36"/>
      <c r="F14" s="37"/>
      <c r="G14" s="35"/>
      <c r="H14" s="37"/>
      <c r="I14" s="36"/>
      <c r="J14" s="36"/>
      <c r="K14" s="36"/>
      <c r="L14" s="36"/>
      <c r="M14" s="38"/>
      <c r="N14" s="39"/>
      <c r="O14" s="39"/>
      <c r="P14" s="39"/>
    </row>
    <row r="15" ht="14.25">
      <c r="A15" s="40"/>
      <c r="B15" s="41"/>
      <c r="C15" s="42"/>
      <c r="D15" s="42"/>
      <c r="E15" s="42"/>
      <c r="F15" s="42"/>
      <c r="G15" s="42"/>
      <c r="H15" s="42"/>
      <c r="I15" s="42"/>
      <c r="J15" s="42"/>
      <c r="K15" s="42"/>
      <c r="L15" s="42"/>
      <c r="M15" s="42"/>
      <c r="N15" s="42"/>
      <c r="O15" s="42"/>
      <c r="P15" s="42"/>
    </row>
    <row r="16" ht="14.25">
      <c r="A16" s="43" t="s">
        <v>7</v>
      </c>
      <c r="B16" s="44">
        <v>2500</v>
      </c>
      <c r="C16" s="42"/>
      <c r="D16" s="42"/>
      <c r="E16" s="42"/>
      <c r="F16" s="42"/>
      <c r="G16" s="42"/>
      <c r="H16" s="42"/>
      <c r="I16" s="42"/>
      <c r="J16" s="42"/>
      <c r="K16" s="42"/>
      <c r="L16" s="42"/>
      <c r="M16" s="42"/>
      <c r="N16" s="42"/>
      <c r="O16" s="42"/>
      <c r="P16" s="42"/>
    </row>
    <row r="17" ht="14.25">
      <c r="A17" s="43" t="s">
        <v>8</v>
      </c>
      <c r="B17" s="45">
        <v>5.9999999999999998e-002</v>
      </c>
      <c r="C17" s="42"/>
      <c r="D17" s="42"/>
      <c r="E17" s="42"/>
      <c r="F17" s="42"/>
      <c r="G17" s="42"/>
      <c r="H17" s="42"/>
      <c r="I17" s="42"/>
      <c r="J17" s="42"/>
      <c r="K17" s="42"/>
      <c r="L17" s="42"/>
      <c r="M17" s="42"/>
      <c r="N17" s="42"/>
      <c r="O17" s="42"/>
      <c r="P17" s="42"/>
    </row>
    <row r="18" ht="14.25">
      <c r="A18" s="43" t="s">
        <v>9</v>
      </c>
      <c r="B18" s="46">
        <v>0</v>
      </c>
      <c r="C18" s="42"/>
      <c r="D18" s="42"/>
      <c r="E18" s="42"/>
      <c r="F18" s="42"/>
      <c r="G18" s="42"/>
      <c r="H18" s="42"/>
      <c r="I18" s="42"/>
      <c r="J18" s="42"/>
      <c r="K18" s="42"/>
      <c r="L18" s="42"/>
      <c r="M18" s="42"/>
      <c r="N18" s="42"/>
      <c r="O18" s="42"/>
      <c r="P18" s="42"/>
    </row>
    <row r="19" ht="14.25">
      <c r="A19" s="43" t="s">
        <v>10</v>
      </c>
      <c r="B19" s="47" t="str">
        <f>IFERROR(PMT(B17/12,B18,B16)*-1,"")</f>
        <v/>
      </c>
      <c r="C19" s="42"/>
      <c r="D19" s="42"/>
      <c r="E19" s="42"/>
      <c r="F19" s="42"/>
      <c r="G19" s="42"/>
      <c r="H19" s="42"/>
      <c r="I19" s="42"/>
      <c r="J19" s="42"/>
      <c r="K19" s="42"/>
      <c r="L19" s="42"/>
      <c r="M19" s="42"/>
      <c r="N19" s="42"/>
      <c r="O19" s="42"/>
      <c r="P19" s="42"/>
    </row>
    <row r="20" ht="14.25">
      <c r="A20" s="48"/>
      <c r="B20" s="49"/>
      <c r="C20" s="42"/>
      <c r="D20" s="42"/>
      <c r="E20" s="42"/>
      <c r="F20" s="42"/>
      <c r="G20" s="42"/>
      <c r="H20" s="42"/>
      <c r="I20" s="42"/>
      <c r="J20" s="42"/>
      <c r="K20" s="42"/>
      <c r="L20" s="42"/>
      <c r="M20" s="42"/>
      <c r="N20" s="42"/>
      <c r="O20" s="42"/>
      <c r="P20" s="42"/>
    </row>
    <row r="21" ht="19.5">
      <c r="A21" s="50" t="s">
        <v>11</v>
      </c>
      <c r="B21" s="51" t="s">
        <v>12</v>
      </c>
      <c r="C21" s="17"/>
      <c r="D21" s="11"/>
      <c r="E21" s="52"/>
      <c r="F21" s="52"/>
      <c r="G21" s="11"/>
      <c r="H21" s="53"/>
      <c r="I21" s="52"/>
      <c r="J21" s="52"/>
      <c r="K21" s="52"/>
      <c r="L21" s="52"/>
      <c r="M21" s="52"/>
      <c r="N21" s="52"/>
      <c r="O21" s="52"/>
      <c r="P21" s="54"/>
    </row>
    <row r="22" ht="15">
      <c r="A22" s="55"/>
      <c r="B22" s="55"/>
      <c r="C22" s="56"/>
      <c r="D22" s="57" t="s">
        <v>13</v>
      </c>
      <c r="E22" s="58"/>
      <c r="F22" s="58"/>
      <c r="G22" s="58"/>
      <c r="H22" s="58"/>
      <c r="I22" s="58"/>
      <c r="J22" s="58"/>
      <c r="K22" s="58"/>
      <c r="L22" s="58"/>
      <c r="M22" s="58"/>
      <c r="N22" s="58"/>
      <c r="O22" s="59"/>
      <c r="P22" s="60"/>
    </row>
    <row r="23" ht="57">
      <c r="A23" s="61" t="s">
        <v>14</v>
      </c>
      <c r="B23" s="62" t="s">
        <v>15</v>
      </c>
      <c r="C23" s="62" t="s">
        <v>16</v>
      </c>
      <c r="D23" s="63">
        <v>1</v>
      </c>
      <c r="E23" s="63">
        <v>2</v>
      </c>
      <c r="F23" s="63">
        <v>3</v>
      </c>
      <c r="G23" s="63">
        <v>4</v>
      </c>
      <c r="H23" s="63">
        <v>5</v>
      </c>
      <c r="I23" s="63">
        <v>6</v>
      </c>
      <c r="J23" s="63">
        <v>7</v>
      </c>
      <c r="K23" s="63">
        <v>8</v>
      </c>
      <c r="L23" s="63">
        <v>9</v>
      </c>
      <c r="M23" s="63">
        <v>10</v>
      </c>
      <c r="N23" s="63">
        <v>11</v>
      </c>
      <c r="O23" s="63">
        <v>12</v>
      </c>
      <c r="P23" s="64" t="s">
        <v>17</v>
      </c>
    </row>
    <row r="24" ht="14.25">
      <c r="A24" s="65" t="s">
        <v>18</v>
      </c>
      <c r="B24" s="66"/>
      <c r="C24" s="67">
        <v>0</v>
      </c>
      <c r="D24" s="68" t="e">
        <f>#REF!</f>
        <v>#REF!</v>
      </c>
      <c r="E24" s="68" t="e">
        <f>#REF!</f>
        <v>#REF!</v>
      </c>
      <c r="F24" s="68" t="e">
        <f>#REF!</f>
        <v>#REF!</v>
      </c>
      <c r="G24" s="68" t="e">
        <f>#REF!</f>
        <v>#REF!</v>
      </c>
      <c r="H24" s="68" t="e">
        <f>#REF!</f>
        <v>#REF!</v>
      </c>
      <c r="I24" s="68" t="e">
        <f>#REF!</f>
        <v>#REF!</v>
      </c>
      <c r="J24" s="68" t="e">
        <f>#REF!</f>
        <v>#REF!</v>
      </c>
      <c r="K24" s="68" t="e">
        <f>#REF!</f>
        <v>#REF!</v>
      </c>
      <c r="L24" s="68" t="e">
        <f>#REF!</f>
        <v>#REF!</v>
      </c>
      <c r="M24" s="68" t="e">
        <f>#REF!</f>
        <v>#REF!</v>
      </c>
      <c r="N24" s="68" t="e">
        <f>#REF!</f>
        <v>#REF!</v>
      </c>
      <c r="O24" s="68" t="e">
        <f>#REF!</f>
        <v>#REF!</v>
      </c>
      <c r="P24" s="69" t="e">
        <f>SUM(C24:O24)</f>
        <v>#REF!</v>
      </c>
    </row>
    <row r="25" ht="14.25">
      <c r="A25" s="65" t="s">
        <v>19</v>
      </c>
      <c r="B25" s="66"/>
      <c r="C25" s="70">
        <f>B16</f>
        <v>2500</v>
      </c>
      <c r="D25" s="71" t="s">
        <v>20</v>
      </c>
      <c r="E25" s="71" t="s">
        <v>20</v>
      </c>
      <c r="F25" s="71" t="s">
        <v>20</v>
      </c>
      <c r="G25" s="71" t="s">
        <v>20</v>
      </c>
      <c r="H25" s="71" t="s">
        <v>20</v>
      </c>
      <c r="I25" s="71" t="s">
        <v>20</v>
      </c>
      <c r="J25" s="71" t="s">
        <v>20</v>
      </c>
      <c r="K25" s="71" t="s">
        <v>20</v>
      </c>
      <c r="L25" s="71" t="s">
        <v>20</v>
      </c>
      <c r="M25" s="71" t="s">
        <v>20</v>
      </c>
      <c r="N25" s="71" t="s">
        <v>20</v>
      </c>
      <c r="O25" s="71" t="s">
        <v>20</v>
      </c>
      <c r="P25" s="72">
        <f>SUM(C25:O25)</f>
        <v>2500</v>
      </c>
    </row>
    <row r="26" ht="14.25">
      <c r="A26" s="65" t="s">
        <v>21</v>
      </c>
      <c r="B26" s="66"/>
      <c r="C26" s="67">
        <v>0</v>
      </c>
      <c r="D26" s="67">
        <v>0</v>
      </c>
      <c r="E26" s="67">
        <v>0</v>
      </c>
      <c r="F26" s="67">
        <v>0</v>
      </c>
      <c r="G26" s="67">
        <v>0</v>
      </c>
      <c r="H26" s="67">
        <v>0</v>
      </c>
      <c r="I26" s="67">
        <v>0</v>
      </c>
      <c r="J26" s="67">
        <v>0</v>
      </c>
      <c r="K26" s="67">
        <v>0</v>
      </c>
      <c r="L26" s="67">
        <v>0</v>
      </c>
      <c r="M26" s="67">
        <v>0</v>
      </c>
      <c r="N26" s="67">
        <v>0</v>
      </c>
      <c r="O26" s="67">
        <v>0</v>
      </c>
      <c r="P26" s="72">
        <f>SUM(C26:O26)</f>
        <v>0</v>
      </c>
    </row>
    <row r="27" ht="14.25">
      <c r="A27" s="65" t="s">
        <v>22</v>
      </c>
      <c r="B27" s="66"/>
      <c r="C27" s="67">
        <v>0</v>
      </c>
      <c r="D27" s="67">
        <v>0</v>
      </c>
      <c r="E27" s="67">
        <v>0</v>
      </c>
      <c r="F27" s="67">
        <v>0</v>
      </c>
      <c r="G27" s="67">
        <v>0</v>
      </c>
      <c r="H27" s="67">
        <v>0</v>
      </c>
      <c r="I27" s="67">
        <v>0</v>
      </c>
      <c r="J27" s="67">
        <v>0</v>
      </c>
      <c r="K27" s="67">
        <v>0</v>
      </c>
      <c r="L27" s="67">
        <v>0</v>
      </c>
      <c r="M27" s="67">
        <v>0</v>
      </c>
      <c r="N27" s="67">
        <v>0</v>
      </c>
      <c r="O27" s="67">
        <v>0</v>
      </c>
      <c r="P27" s="72">
        <f>SUM(C27:O27)</f>
        <v>0</v>
      </c>
    </row>
    <row r="28" ht="14.25">
      <c r="A28" s="73" t="s">
        <v>23</v>
      </c>
      <c r="B28" s="66"/>
      <c r="C28" s="67">
        <v>0</v>
      </c>
      <c r="D28" s="67">
        <v>0</v>
      </c>
      <c r="E28" s="67">
        <v>0</v>
      </c>
      <c r="F28" s="67">
        <v>0</v>
      </c>
      <c r="G28" s="67">
        <v>0</v>
      </c>
      <c r="H28" s="67">
        <v>0</v>
      </c>
      <c r="I28" s="67">
        <v>0</v>
      </c>
      <c r="J28" s="67">
        <v>0</v>
      </c>
      <c r="K28" s="67">
        <v>0</v>
      </c>
      <c r="L28" s="67">
        <v>0</v>
      </c>
      <c r="M28" s="67">
        <v>0</v>
      </c>
      <c r="N28" s="67">
        <v>0</v>
      </c>
      <c r="O28" s="67">
        <v>0</v>
      </c>
      <c r="P28" s="72">
        <f>SUM(C28:O28)</f>
        <v>0</v>
      </c>
    </row>
    <row r="29" ht="14.25">
      <c r="A29" s="73" t="s">
        <v>24</v>
      </c>
      <c r="B29" s="66"/>
      <c r="C29" s="67">
        <v>0</v>
      </c>
      <c r="D29" s="67">
        <v>0</v>
      </c>
      <c r="E29" s="67">
        <v>0</v>
      </c>
      <c r="F29" s="67">
        <v>0</v>
      </c>
      <c r="G29" s="67">
        <v>0</v>
      </c>
      <c r="H29" s="67">
        <v>0</v>
      </c>
      <c r="I29" s="67">
        <v>0</v>
      </c>
      <c r="J29" s="67">
        <v>0</v>
      </c>
      <c r="K29" s="67">
        <v>0</v>
      </c>
      <c r="L29" s="67">
        <v>0</v>
      </c>
      <c r="M29" s="67">
        <v>0</v>
      </c>
      <c r="N29" s="67">
        <v>0</v>
      </c>
      <c r="O29" s="67">
        <v>0</v>
      </c>
      <c r="P29" s="72">
        <f>SUM(C29:O29)</f>
        <v>0</v>
      </c>
    </row>
    <row r="30" ht="14.25">
      <c r="A30" s="73" t="s">
        <v>24</v>
      </c>
      <c r="B30" s="66"/>
      <c r="C30" s="67">
        <v>0</v>
      </c>
      <c r="D30" s="67">
        <v>0</v>
      </c>
      <c r="E30" s="67">
        <v>0</v>
      </c>
      <c r="F30" s="67">
        <v>0</v>
      </c>
      <c r="G30" s="67">
        <v>0</v>
      </c>
      <c r="H30" s="67">
        <v>0</v>
      </c>
      <c r="I30" s="67">
        <v>0</v>
      </c>
      <c r="J30" s="67">
        <v>0</v>
      </c>
      <c r="K30" s="67">
        <v>0</v>
      </c>
      <c r="L30" s="67">
        <v>0</v>
      </c>
      <c r="M30" s="67">
        <v>0</v>
      </c>
      <c r="N30" s="67">
        <v>0</v>
      </c>
      <c r="O30" s="67">
        <v>0</v>
      </c>
      <c r="P30" s="72">
        <f>SUM(C30:O30)</f>
        <v>0</v>
      </c>
    </row>
    <row r="31" ht="14.25">
      <c r="A31" s="74" t="s">
        <v>24</v>
      </c>
      <c r="B31" s="75"/>
      <c r="C31" s="76">
        <v>0</v>
      </c>
      <c r="D31" s="76">
        <v>0</v>
      </c>
      <c r="E31" s="76">
        <v>0</v>
      </c>
      <c r="F31" s="76">
        <v>0</v>
      </c>
      <c r="G31" s="76">
        <v>0</v>
      </c>
      <c r="H31" s="76">
        <v>0</v>
      </c>
      <c r="I31" s="76">
        <v>0</v>
      </c>
      <c r="J31" s="76">
        <v>0</v>
      </c>
      <c r="K31" s="76">
        <v>0</v>
      </c>
      <c r="L31" s="76">
        <v>0</v>
      </c>
      <c r="M31" s="76">
        <v>0</v>
      </c>
      <c r="N31" s="76">
        <v>0</v>
      </c>
      <c r="O31" s="76">
        <v>0</v>
      </c>
      <c r="P31" s="77">
        <f>SUM(C31:O31)</f>
        <v>0</v>
      </c>
    </row>
    <row r="32" ht="14.25">
      <c r="A32" s="78" t="s">
        <v>24</v>
      </c>
      <c r="B32" s="79"/>
      <c r="C32" s="80">
        <v>0</v>
      </c>
      <c r="D32" s="80">
        <v>0</v>
      </c>
      <c r="E32" s="80">
        <v>0</v>
      </c>
      <c r="F32" s="80">
        <v>0</v>
      </c>
      <c r="G32" s="80">
        <v>0</v>
      </c>
      <c r="H32" s="80">
        <v>0</v>
      </c>
      <c r="I32" s="80">
        <v>0</v>
      </c>
      <c r="J32" s="80">
        <v>0</v>
      </c>
      <c r="K32" s="80">
        <v>0</v>
      </c>
      <c r="L32" s="80">
        <v>0</v>
      </c>
      <c r="M32" s="80">
        <v>0</v>
      </c>
      <c r="N32" s="80">
        <v>0</v>
      </c>
      <c r="O32" s="80">
        <v>0</v>
      </c>
      <c r="P32" s="81">
        <f>SUM(C32:O32)</f>
        <v>0</v>
      </c>
    </row>
    <row r="33" ht="14.25">
      <c r="A33" s="78" t="s">
        <v>24</v>
      </c>
      <c r="B33" s="79"/>
      <c r="C33" s="80">
        <v>0</v>
      </c>
      <c r="D33" s="80">
        <v>0</v>
      </c>
      <c r="E33" s="80">
        <v>0</v>
      </c>
      <c r="F33" s="80">
        <v>0</v>
      </c>
      <c r="G33" s="80">
        <v>0</v>
      </c>
      <c r="H33" s="80">
        <v>0</v>
      </c>
      <c r="I33" s="80">
        <v>0</v>
      </c>
      <c r="J33" s="80">
        <v>0</v>
      </c>
      <c r="K33" s="80">
        <v>0</v>
      </c>
      <c r="L33" s="80">
        <v>0</v>
      </c>
      <c r="M33" s="80">
        <v>0</v>
      </c>
      <c r="N33" s="80">
        <v>0</v>
      </c>
      <c r="O33" s="80">
        <v>0</v>
      </c>
      <c r="P33" s="81">
        <f>SUM(C33:O33)</f>
        <v>0</v>
      </c>
    </row>
    <row r="34" ht="14.25">
      <c r="A34" s="78" t="s">
        <v>24</v>
      </c>
      <c r="B34" s="79"/>
      <c r="C34" s="80">
        <v>0</v>
      </c>
      <c r="D34" s="80">
        <v>0</v>
      </c>
      <c r="E34" s="80">
        <v>0</v>
      </c>
      <c r="F34" s="80">
        <v>0</v>
      </c>
      <c r="G34" s="80">
        <v>0</v>
      </c>
      <c r="H34" s="80">
        <v>0</v>
      </c>
      <c r="I34" s="80">
        <v>0</v>
      </c>
      <c r="J34" s="80">
        <v>0</v>
      </c>
      <c r="K34" s="80">
        <v>0</v>
      </c>
      <c r="L34" s="80">
        <v>0</v>
      </c>
      <c r="M34" s="80">
        <v>0</v>
      </c>
      <c r="N34" s="80">
        <v>0</v>
      </c>
      <c r="O34" s="80">
        <v>0</v>
      </c>
      <c r="P34" s="81">
        <f>SUM(C34:O34)</f>
        <v>0</v>
      </c>
    </row>
    <row r="35" ht="14.25">
      <c r="A35" s="82" t="s">
        <v>25</v>
      </c>
      <c r="B35" s="83"/>
      <c r="C35" s="84">
        <f>SUM(C24:C34)</f>
        <v>2500</v>
      </c>
      <c r="D35" s="85" t="e">
        <f>SUM(D24:D34)</f>
        <v>#REF!</v>
      </c>
      <c r="E35" s="85" t="e">
        <f>SUM(E24:E34)</f>
        <v>#REF!</v>
      </c>
      <c r="F35" s="85" t="e">
        <f>SUM(F24:F34)</f>
        <v>#REF!</v>
      </c>
      <c r="G35" s="86" t="e">
        <f>SUM(G24:G34)</f>
        <v>#REF!</v>
      </c>
      <c r="H35" s="87" t="e">
        <f>SUM(H24:H34)</f>
        <v>#REF!</v>
      </c>
      <c r="I35" s="87" t="e">
        <f>SUM(I24:I34)</f>
        <v>#REF!</v>
      </c>
      <c r="J35" s="87" t="e">
        <f>SUM(J24:J34)</f>
        <v>#REF!</v>
      </c>
      <c r="K35" s="84" t="e">
        <f>SUM(K24:K34)</f>
        <v>#REF!</v>
      </c>
      <c r="L35" s="85" t="e">
        <f>SUM(L24:L34)</f>
        <v>#REF!</v>
      </c>
      <c r="M35" s="85" t="e">
        <f>SUM(M24:M34)</f>
        <v>#REF!</v>
      </c>
      <c r="N35" s="86" t="e">
        <f>SUM(N24:N34)</f>
        <v>#REF!</v>
      </c>
      <c r="O35" s="87" t="e">
        <f>SUM(O24:O34)</f>
        <v>#REF!</v>
      </c>
      <c r="P35" s="88" t="e">
        <f>SUM(C35:O35)</f>
        <v>#REF!</v>
      </c>
    </row>
    <row r="36" ht="14.25">
      <c r="A36" s="89"/>
      <c r="B36" s="89"/>
      <c r="C36" s="90"/>
      <c r="D36" s="90"/>
      <c r="E36" s="90"/>
      <c r="F36" s="90"/>
      <c r="G36" s="90"/>
      <c r="H36" s="90"/>
      <c r="I36" s="90"/>
      <c r="J36" s="90"/>
      <c r="K36" s="90"/>
      <c r="L36" s="90"/>
      <c r="M36" s="90"/>
      <c r="N36" s="90"/>
      <c r="O36" s="90"/>
      <c r="P36" s="91"/>
    </row>
    <row r="37" ht="14.25">
      <c r="A37" s="89"/>
      <c r="B37" s="89"/>
      <c r="C37" s="90"/>
      <c r="D37" s="92"/>
      <c r="E37" s="92"/>
      <c r="F37" s="92"/>
      <c r="G37" s="92"/>
      <c r="H37" s="92"/>
      <c r="I37" s="92"/>
      <c r="J37" s="92"/>
      <c r="K37" s="92"/>
      <c r="L37" s="92"/>
      <c r="M37" s="92"/>
      <c r="N37" s="92"/>
      <c r="O37" s="92"/>
      <c r="P37" s="91"/>
    </row>
    <row r="38" ht="15">
      <c r="A38" s="93"/>
      <c r="B38" s="93"/>
      <c r="C38" s="94"/>
      <c r="D38" s="57" t="s">
        <v>13</v>
      </c>
      <c r="E38" s="58"/>
      <c r="F38" s="58"/>
      <c r="G38" s="58"/>
      <c r="H38" s="58"/>
      <c r="I38" s="58"/>
      <c r="J38" s="58"/>
      <c r="K38" s="58"/>
      <c r="L38" s="58"/>
      <c r="M38" s="58"/>
      <c r="N38" s="58"/>
      <c r="O38" s="59"/>
      <c r="P38" s="95"/>
    </row>
    <row r="39" ht="12" customHeight="1">
      <c r="A39" s="61" t="s">
        <v>26</v>
      </c>
      <c r="B39" s="62" t="s">
        <v>15</v>
      </c>
      <c r="C39" s="62" t="s">
        <v>16</v>
      </c>
      <c r="D39" s="63">
        <v>1</v>
      </c>
      <c r="E39" s="63">
        <v>2</v>
      </c>
      <c r="F39" s="63">
        <v>3</v>
      </c>
      <c r="G39" s="63">
        <v>4</v>
      </c>
      <c r="H39" s="63">
        <v>5</v>
      </c>
      <c r="I39" s="63">
        <v>6</v>
      </c>
      <c r="J39" s="63">
        <v>7</v>
      </c>
      <c r="K39" s="63">
        <v>8</v>
      </c>
      <c r="L39" s="63">
        <v>9</v>
      </c>
      <c r="M39" s="63">
        <v>10</v>
      </c>
      <c r="N39" s="63">
        <v>11</v>
      </c>
      <c r="O39" s="63">
        <v>12</v>
      </c>
      <c r="P39" s="64" t="s">
        <v>17</v>
      </c>
    </row>
    <row r="40" ht="12" customHeight="1">
      <c r="A40" s="96" t="s">
        <v>27</v>
      </c>
      <c r="B40" s="97"/>
      <c r="C40" s="98">
        <v>0</v>
      </c>
      <c r="D40" s="68" t="e">
        <f>#REF!</f>
        <v>#REF!</v>
      </c>
      <c r="E40" s="68" t="e">
        <f>#REF!</f>
        <v>#REF!</v>
      </c>
      <c r="F40" s="68" t="e">
        <f>#REF!</f>
        <v>#REF!</v>
      </c>
      <c r="G40" s="68" t="e">
        <f>#REF!</f>
        <v>#REF!</v>
      </c>
      <c r="H40" s="68" t="e">
        <f>#REF!</f>
        <v>#REF!</v>
      </c>
      <c r="I40" s="68" t="e">
        <f>#REF!</f>
        <v>#REF!</v>
      </c>
      <c r="J40" s="68" t="e">
        <f>#REF!</f>
        <v>#REF!</v>
      </c>
      <c r="K40" s="68" t="e">
        <f>#REF!</f>
        <v>#REF!</v>
      </c>
      <c r="L40" s="68" t="e">
        <f>#REF!</f>
        <v>#REF!</v>
      </c>
      <c r="M40" s="68" t="e">
        <f>#REF!</f>
        <v>#REF!</v>
      </c>
      <c r="N40" s="68" t="e">
        <f>#REF!</f>
        <v>#REF!</v>
      </c>
      <c r="O40" s="68" t="e">
        <f>#REF!</f>
        <v>#REF!</v>
      </c>
      <c r="P40" s="69" t="e">
        <f>SUM(C40:O40)</f>
        <v>#REF!</v>
      </c>
    </row>
    <row r="41" ht="12" customHeight="1">
      <c r="A41" s="96" t="s">
        <v>22</v>
      </c>
      <c r="B41" s="97">
        <v>0</v>
      </c>
      <c r="C41" s="99">
        <f>SUM(C27)</f>
        <v>0</v>
      </c>
      <c r="D41" s="98">
        <v>0</v>
      </c>
      <c r="E41" s="98">
        <v>0</v>
      </c>
      <c r="F41" s="98">
        <v>0</v>
      </c>
      <c r="G41" s="98">
        <v>0</v>
      </c>
      <c r="H41" s="98">
        <v>0</v>
      </c>
      <c r="I41" s="98">
        <v>0</v>
      </c>
      <c r="J41" s="98">
        <v>0</v>
      </c>
      <c r="K41" s="98">
        <v>0</v>
      </c>
      <c r="L41" s="98">
        <v>0</v>
      </c>
      <c r="M41" s="98">
        <v>0</v>
      </c>
      <c r="N41" s="98">
        <v>0</v>
      </c>
      <c r="O41" s="98">
        <v>0</v>
      </c>
      <c r="P41" s="72">
        <f>SUM(C41:O41)</f>
        <v>0</v>
      </c>
    </row>
    <row r="42" ht="12" customHeight="1">
      <c r="A42" s="96" t="s">
        <v>28</v>
      </c>
      <c r="B42" s="97"/>
      <c r="C42" s="98">
        <v>0</v>
      </c>
      <c r="D42" s="98">
        <v>0</v>
      </c>
      <c r="E42" s="98">
        <v>0</v>
      </c>
      <c r="F42" s="98">
        <v>0</v>
      </c>
      <c r="G42" s="98">
        <v>0</v>
      </c>
      <c r="H42" s="98">
        <v>0</v>
      </c>
      <c r="I42" s="98">
        <v>0</v>
      </c>
      <c r="J42" s="98">
        <v>0</v>
      </c>
      <c r="K42" s="98">
        <v>0</v>
      </c>
      <c r="L42" s="98">
        <v>0</v>
      </c>
      <c r="M42" s="98">
        <v>0</v>
      </c>
      <c r="N42" s="98">
        <v>0</v>
      </c>
      <c r="O42" s="98">
        <v>0</v>
      </c>
      <c r="P42" s="72">
        <f>SUM(C42:O42)</f>
        <v>0</v>
      </c>
    </row>
    <row r="43" ht="12" customHeight="1">
      <c r="A43" s="96" t="s">
        <v>29</v>
      </c>
      <c r="B43" s="97"/>
      <c r="C43" s="98">
        <v>0</v>
      </c>
      <c r="D43" s="98">
        <v>0</v>
      </c>
      <c r="E43" s="98">
        <v>0</v>
      </c>
      <c r="F43" s="98">
        <v>0</v>
      </c>
      <c r="G43" s="98">
        <v>0</v>
      </c>
      <c r="H43" s="98">
        <v>0</v>
      </c>
      <c r="I43" s="98">
        <v>0</v>
      </c>
      <c r="J43" s="98">
        <v>0</v>
      </c>
      <c r="K43" s="98">
        <v>0</v>
      </c>
      <c r="L43" s="98">
        <v>0</v>
      </c>
      <c r="M43" s="98">
        <v>0</v>
      </c>
      <c r="N43" s="98">
        <v>0</v>
      </c>
      <c r="O43" s="98">
        <v>0</v>
      </c>
      <c r="P43" s="72">
        <f>SUM(C43:O43)</f>
        <v>0</v>
      </c>
    </row>
    <row r="44" ht="12" customHeight="1">
      <c r="A44" s="96" t="s">
        <v>30</v>
      </c>
      <c r="B44" s="97"/>
      <c r="C44" s="98">
        <v>0</v>
      </c>
      <c r="D44" s="98">
        <v>0</v>
      </c>
      <c r="E44" s="98">
        <v>0</v>
      </c>
      <c r="F44" s="98">
        <v>0</v>
      </c>
      <c r="G44" s="98">
        <v>0</v>
      </c>
      <c r="H44" s="98">
        <v>0</v>
      </c>
      <c r="I44" s="98">
        <v>0</v>
      </c>
      <c r="J44" s="98">
        <v>0</v>
      </c>
      <c r="K44" s="98">
        <v>0</v>
      </c>
      <c r="L44" s="98">
        <v>0</v>
      </c>
      <c r="M44" s="98">
        <v>0</v>
      </c>
      <c r="N44" s="98">
        <v>0</v>
      </c>
      <c r="O44" s="98">
        <v>0</v>
      </c>
      <c r="P44" s="72">
        <f>SUM(C44:O44)</f>
        <v>0</v>
      </c>
    </row>
    <row r="45" ht="12" customHeight="1">
      <c r="A45" s="96" t="s">
        <v>31</v>
      </c>
      <c r="B45" s="97"/>
      <c r="C45" s="98">
        <v>0</v>
      </c>
      <c r="D45" s="98">
        <v>0</v>
      </c>
      <c r="E45" s="98">
        <v>0</v>
      </c>
      <c r="F45" s="98">
        <v>0</v>
      </c>
      <c r="G45" s="98">
        <v>0</v>
      </c>
      <c r="H45" s="98">
        <v>0</v>
      </c>
      <c r="I45" s="98">
        <v>0</v>
      </c>
      <c r="J45" s="98">
        <v>0</v>
      </c>
      <c r="K45" s="98">
        <v>0</v>
      </c>
      <c r="L45" s="98">
        <v>0</v>
      </c>
      <c r="M45" s="98">
        <v>0</v>
      </c>
      <c r="N45" s="98">
        <v>0</v>
      </c>
      <c r="O45" s="98">
        <v>0</v>
      </c>
      <c r="P45" s="72">
        <f>SUM(C45:O45)</f>
        <v>0</v>
      </c>
    </row>
    <row r="46" ht="12" customHeight="1">
      <c r="A46" s="96" t="s">
        <v>32</v>
      </c>
      <c r="B46" s="97"/>
      <c r="C46" s="98">
        <v>0</v>
      </c>
      <c r="D46" s="98">
        <v>0</v>
      </c>
      <c r="E46" s="98">
        <v>0</v>
      </c>
      <c r="F46" s="98">
        <v>0</v>
      </c>
      <c r="G46" s="98">
        <v>0</v>
      </c>
      <c r="H46" s="98">
        <v>0</v>
      </c>
      <c r="I46" s="98">
        <v>0</v>
      </c>
      <c r="J46" s="98">
        <v>0</v>
      </c>
      <c r="K46" s="98">
        <v>0</v>
      </c>
      <c r="L46" s="98">
        <v>0</v>
      </c>
      <c r="M46" s="98">
        <v>0</v>
      </c>
      <c r="N46" s="98">
        <v>0</v>
      </c>
      <c r="O46" s="98">
        <v>0</v>
      </c>
      <c r="P46" s="72">
        <f>SUM(C46:O46)</f>
        <v>0</v>
      </c>
    </row>
    <row r="47" ht="12" customHeight="1">
      <c r="A47" s="96" t="s">
        <v>33</v>
      </c>
      <c r="B47" s="97"/>
      <c r="C47" s="98">
        <v>0</v>
      </c>
      <c r="D47" s="98">
        <v>0</v>
      </c>
      <c r="E47" s="98">
        <v>0</v>
      </c>
      <c r="F47" s="98">
        <v>0</v>
      </c>
      <c r="G47" s="98">
        <v>0</v>
      </c>
      <c r="H47" s="98">
        <v>0</v>
      </c>
      <c r="I47" s="98">
        <v>0</v>
      </c>
      <c r="J47" s="98">
        <v>0</v>
      </c>
      <c r="K47" s="98">
        <v>0</v>
      </c>
      <c r="L47" s="98">
        <v>0</v>
      </c>
      <c r="M47" s="98">
        <v>0</v>
      </c>
      <c r="N47" s="98">
        <v>0</v>
      </c>
      <c r="O47" s="98">
        <v>0</v>
      </c>
      <c r="P47" s="72">
        <f>SUM(C47:O47)</f>
        <v>0</v>
      </c>
    </row>
    <row r="48" ht="12" customHeight="1">
      <c r="A48" s="96" t="s">
        <v>34</v>
      </c>
      <c r="B48" s="97"/>
      <c r="C48" s="98">
        <v>0</v>
      </c>
      <c r="D48" s="98">
        <v>0</v>
      </c>
      <c r="E48" s="98">
        <v>0</v>
      </c>
      <c r="F48" s="98">
        <v>0</v>
      </c>
      <c r="G48" s="98">
        <v>0</v>
      </c>
      <c r="H48" s="98">
        <v>0</v>
      </c>
      <c r="I48" s="98">
        <v>0</v>
      </c>
      <c r="J48" s="98">
        <v>0</v>
      </c>
      <c r="K48" s="98">
        <v>0</v>
      </c>
      <c r="L48" s="98">
        <v>0</v>
      </c>
      <c r="M48" s="98">
        <v>0</v>
      </c>
      <c r="N48" s="98">
        <v>0</v>
      </c>
      <c r="O48" s="98">
        <v>0</v>
      </c>
      <c r="P48" s="72">
        <f>SUM(C48:O48)</f>
        <v>0</v>
      </c>
    </row>
    <row r="49" ht="12" customHeight="1">
      <c r="A49" s="96" t="s">
        <v>35</v>
      </c>
      <c r="B49" s="97"/>
      <c r="C49" s="98">
        <v>200</v>
      </c>
      <c r="D49" s="98">
        <v>0</v>
      </c>
      <c r="E49" s="98">
        <v>0</v>
      </c>
      <c r="F49" s="98">
        <v>0</v>
      </c>
      <c r="G49" s="98">
        <v>0</v>
      </c>
      <c r="H49" s="98">
        <v>0</v>
      </c>
      <c r="I49" s="98">
        <v>0</v>
      </c>
      <c r="J49" s="98">
        <v>0</v>
      </c>
      <c r="K49" s="98">
        <v>0</v>
      </c>
      <c r="L49" s="98">
        <v>0</v>
      </c>
      <c r="M49" s="98">
        <v>0</v>
      </c>
      <c r="N49" s="98">
        <v>0</v>
      </c>
      <c r="O49" s="98">
        <v>0</v>
      </c>
      <c r="P49" s="72">
        <f>SUM(C49:O49)</f>
        <v>200</v>
      </c>
    </row>
    <row r="50" ht="12" customHeight="1">
      <c r="A50" s="96" t="s">
        <v>36</v>
      </c>
      <c r="B50" s="97"/>
      <c r="C50" s="98">
        <v>0</v>
      </c>
      <c r="D50" s="98">
        <v>0</v>
      </c>
      <c r="E50" s="98">
        <v>0</v>
      </c>
      <c r="F50" s="98">
        <v>0</v>
      </c>
      <c r="G50" s="98">
        <v>0</v>
      </c>
      <c r="H50" s="98">
        <v>0</v>
      </c>
      <c r="I50" s="98">
        <v>0</v>
      </c>
      <c r="J50" s="98">
        <v>0</v>
      </c>
      <c r="K50" s="98">
        <v>0</v>
      </c>
      <c r="L50" s="98">
        <v>0</v>
      </c>
      <c r="M50" s="98">
        <v>0</v>
      </c>
      <c r="N50" s="98">
        <v>0</v>
      </c>
      <c r="O50" s="98">
        <v>0</v>
      </c>
      <c r="P50" s="72">
        <f>SUM(C50:O50)</f>
        <v>0</v>
      </c>
    </row>
    <row r="51" ht="12" customHeight="1">
      <c r="A51" s="96" t="s">
        <v>37</v>
      </c>
      <c r="B51" s="97"/>
      <c r="C51" s="98">
        <v>300</v>
      </c>
      <c r="D51" s="98">
        <v>0</v>
      </c>
      <c r="E51" s="98">
        <v>0</v>
      </c>
      <c r="F51" s="98">
        <v>0</v>
      </c>
      <c r="G51" s="98">
        <v>0</v>
      </c>
      <c r="H51" s="98">
        <v>0</v>
      </c>
      <c r="I51" s="98">
        <v>0</v>
      </c>
      <c r="J51" s="98">
        <v>0</v>
      </c>
      <c r="K51" s="98">
        <v>0</v>
      </c>
      <c r="L51" s="98">
        <v>0</v>
      </c>
      <c r="M51" s="98">
        <v>0</v>
      </c>
      <c r="N51" s="98">
        <v>0</v>
      </c>
      <c r="O51" s="98">
        <v>0</v>
      </c>
      <c r="P51" s="72">
        <f>SUM(C51:O51)</f>
        <v>300</v>
      </c>
    </row>
    <row r="52" ht="12" customHeight="1">
      <c r="A52" s="96" t="s">
        <v>38</v>
      </c>
      <c r="B52" s="97"/>
      <c r="C52" s="98">
        <v>0</v>
      </c>
      <c r="D52" s="98">
        <v>0</v>
      </c>
      <c r="E52" s="98">
        <v>0</v>
      </c>
      <c r="F52" s="98">
        <v>0</v>
      </c>
      <c r="G52" s="98">
        <v>0</v>
      </c>
      <c r="H52" s="98">
        <v>0</v>
      </c>
      <c r="I52" s="98">
        <v>0</v>
      </c>
      <c r="J52" s="98">
        <v>0</v>
      </c>
      <c r="K52" s="98">
        <v>0</v>
      </c>
      <c r="L52" s="98">
        <v>0</v>
      </c>
      <c r="M52" s="98">
        <v>0</v>
      </c>
      <c r="N52" s="98">
        <v>0</v>
      </c>
      <c r="O52" s="98">
        <v>0</v>
      </c>
      <c r="P52" s="72">
        <f>SUM(C52:O52)</f>
        <v>0</v>
      </c>
    </row>
    <row r="53" ht="14.25">
      <c r="A53" s="65" t="s">
        <v>39</v>
      </c>
      <c r="B53" s="97"/>
      <c r="C53" s="98" t="s">
        <v>20</v>
      </c>
      <c r="D53" s="99" t="e">
        <f>IF(#REF!&lt;0,-#REF!,0)</f>
        <v>#REF!</v>
      </c>
      <c r="E53" s="99" t="e">
        <f>D53</f>
        <v>#REF!</v>
      </c>
      <c r="F53" s="99" t="e">
        <f>E53</f>
        <v>#REF!</v>
      </c>
      <c r="G53" s="99" t="e">
        <f>F53</f>
        <v>#REF!</v>
      </c>
      <c r="H53" s="99" t="e">
        <f>G53</f>
        <v>#REF!</v>
      </c>
      <c r="I53" s="99" t="e">
        <f>H53</f>
        <v>#REF!</v>
      </c>
      <c r="J53" s="99" t="e">
        <f>I53</f>
        <v>#REF!</v>
      </c>
      <c r="K53" s="99" t="e">
        <f>J53</f>
        <v>#REF!</v>
      </c>
      <c r="L53" s="99" t="e">
        <f>K53</f>
        <v>#REF!</v>
      </c>
      <c r="M53" s="99" t="e">
        <f>L53</f>
        <v>#REF!</v>
      </c>
      <c r="N53" s="99" t="e">
        <f>M53</f>
        <v>#REF!</v>
      </c>
      <c r="O53" s="99" t="e">
        <f>N53</f>
        <v>#REF!</v>
      </c>
      <c r="P53" s="72" t="e">
        <f>SUM(D53:O53)</f>
        <v>#REF!</v>
      </c>
    </row>
    <row r="54" ht="14.25">
      <c r="A54" s="65" t="s">
        <v>40</v>
      </c>
      <c r="B54" s="97"/>
      <c r="C54" s="98" t="s">
        <v>20</v>
      </c>
      <c r="D54" s="98">
        <v>0</v>
      </c>
      <c r="E54" s="98">
        <v>0</v>
      </c>
      <c r="F54" s="98">
        <v>0</v>
      </c>
      <c r="G54" s="98">
        <v>0</v>
      </c>
      <c r="H54" s="98">
        <v>0</v>
      </c>
      <c r="I54" s="98">
        <v>0</v>
      </c>
      <c r="J54" s="98">
        <v>0</v>
      </c>
      <c r="K54" s="98">
        <v>0</v>
      </c>
      <c r="L54" s="98">
        <v>0</v>
      </c>
      <c r="M54" s="98">
        <v>0</v>
      </c>
      <c r="N54" s="98">
        <v>0</v>
      </c>
      <c r="O54" s="98">
        <v>0</v>
      </c>
      <c r="P54" s="72">
        <f>SUM(C54:O54)</f>
        <v>0</v>
      </c>
    </row>
    <row r="55" ht="15" customHeight="1">
      <c r="A55" s="96" t="s">
        <v>41</v>
      </c>
      <c r="B55" s="97"/>
      <c r="C55" s="98">
        <v>0</v>
      </c>
      <c r="D55" s="98">
        <v>250</v>
      </c>
      <c r="E55" s="98">
        <v>250</v>
      </c>
      <c r="F55" s="98">
        <v>250</v>
      </c>
      <c r="G55" s="98">
        <v>250</v>
      </c>
      <c r="H55" s="98">
        <v>250</v>
      </c>
      <c r="I55" s="98">
        <v>250</v>
      </c>
      <c r="J55" s="98">
        <v>0</v>
      </c>
      <c r="K55" s="98">
        <v>0</v>
      </c>
      <c r="L55" s="98">
        <v>0</v>
      </c>
      <c r="M55" s="98">
        <v>0</v>
      </c>
      <c r="N55" s="98">
        <v>0</v>
      </c>
      <c r="O55" s="98">
        <v>0</v>
      </c>
      <c r="P55" s="72">
        <f>SUM(C55:O55)</f>
        <v>1500</v>
      </c>
    </row>
    <row r="56" ht="14.25">
      <c r="A56" s="65" t="s">
        <v>42</v>
      </c>
      <c r="B56" s="97"/>
      <c r="C56" s="98" t="s">
        <v>20</v>
      </c>
      <c r="D56" s="100" t="str">
        <f>B19</f>
        <v/>
      </c>
      <c r="E56" s="99" t="str">
        <f>D56</f>
        <v/>
      </c>
      <c r="F56" s="99" t="str">
        <f>E56</f>
        <v/>
      </c>
      <c r="G56" s="99" t="str">
        <f>F56</f>
        <v/>
      </c>
      <c r="H56" s="99" t="str">
        <f>G56</f>
        <v/>
      </c>
      <c r="I56" s="99" t="str">
        <f>H56</f>
        <v/>
      </c>
      <c r="J56" s="99" t="str">
        <f>I56</f>
        <v/>
      </c>
      <c r="K56" s="99" t="str">
        <f>J56</f>
        <v/>
      </c>
      <c r="L56" s="99" t="str">
        <f>K56</f>
        <v/>
      </c>
      <c r="M56" s="99" t="str">
        <f>L56</f>
        <v/>
      </c>
      <c r="N56" s="99" t="str">
        <f>M56</f>
        <v/>
      </c>
      <c r="O56" s="99" t="str">
        <f>N56</f>
        <v/>
      </c>
      <c r="P56" s="72">
        <f>SUM(C56:O56)</f>
        <v>0</v>
      </c>
    </row>
    <row r="57" ht="14.25">
      <c r="A57" s="73" t="s">
        <v>43</v>
      </c>
      <c r="B57" s="97"/>
      <c r="C57" s="98">
        <v>900</v>
      </c>
      <c r="D57" s="98">
        <v>50</v>
      </c>
      <c r="E57" s="98">
        <v>50</v>
      </c>
      <c r="F57" s="98">
        <v>50</v>
      </c>
      <c r="G57" s="98">
        <v>50</v>
      </c>
      <c r="H57" s="98">
        <v>50</v>
      </c>
      <c r="I57" s="98">
        <v>50</v>
      </c>
      <c r="J57" s="98">
        <v>50</v>
      </c>
      <c r="K57" s="98">
        <v>50</v>
      </c>
      <c r="L57" s="98">
        <v>50</v>
      </c>
      <c r="M57" s="98">
        <v>50</v>
      </c>
      <c r="N57" s="98">
        <v>0</v>
      </c>
      <c r="O57" s="98">
        <v>0</v>
      </c>
      <c r="P57" s="72">
        <f>SUM(C57:O57)</f>
        <v>1400</v>
      </c>
    </row>
    <row r="58" ht="14.25">
      <c r="A58" s="73" t="s">
        <v>44</v>
      </c>
      <c r="B58" s="97"/>
      <c r="C58" s="98">
        <v>250</v>
      </c>
      <c r="D58" s="98">
        <v>50</v>
      </c>
      <c r="E58" s="98">
        <v>50</v>
      </c>
      <c r="F58" s="98">
        <v>50</v>
      </c>
      <c r="G58" s="98">
        <v>50</v>
      </c>
      <c r="H58" s="98">
        <v>50</v>
      </c>
      <c r="I58" s="98">
        <v>50</v>
      </c>
      <c r="J58" s="98">
        <v>50</v>
      </c>
      <c r="K58" s="98">
        <v>50</v>
      </c>
      <c r="L58" s="98">
        <v>50</v>
      </c>
      <c r="M58" s="98">
        <v>50</v>
      </c>
      <c r="N58" s="98">
        <v>0</v>
      </c>
      <c r="O58" s="98">
        <v>0</v>
      </c>
      <c r="P58" s="72">
        <f>SUM(C58:O58)</f>
        <v>750</v>
      </c>
    </row>
    <row r="59" ht="14.25">
      <c r="A59" s="73" t="s">
        <v>45</v>
      </c>
      <c r="B59" s="97"/>
      <c r="C59" s="98">
        <v>200</v>
      </c>
      <c r="D59" s="98">
        <v>0</v>
      </c>
      <c r="E59" s="98">
        <v>0</v>
      </c>
      <c r="F59" s="98">
        <v>0</v>
      </c>
      <c r="G59" s="98">
        <v>0</v>
      </c>
      <c r="H59" s="98">
        <v>0</v>
      </c>
      <c r="I59" s="98">
        <v>0</v>
      </c>
      <c r="J59" s="98">
        <v>0</v>
      </c>
      <c r="K59" s="98">
        <v>0</v>
      </c>
      <c r="L59" s="98">
        <v>0</v>
      </c>
      <c r="M59" s="98">
        <v>0</v>
      </c>
      <c r="N59" s="98">
        <v>0</v>
      </c>
      <c r="O59" s="98">
        <v>0</v>
      </c>
      <c r="P59" s="72">
        <f>SUM(C59:O59)</f>
        <v>200</v>
      </c>
    </row>
    <row r="60" ht="14.25">
      <c r="A60" s="73" t="s">
        <v>46</v>
      </c>
      <c r="B60" s="97"/>
      <c r="C60" s="98">
        <v>250</v>
      </c>
      <c r="D60" s="98">
        <v>0</v>
      </c>
      <c r="E60" s="98">
        <v>0</v>
      </c>
      <c r="F60" s="98">
        <v>0</v>
      </c>
      <c r="G60" s="98">
        <v>0</v>
      </c>
      <c r="H60" s="98">
        <v>0</v>
      </c>
      <c r="I60" s="98">
        <v>0</v>
      </c>
      <c r="J60" s="98">
        <v>0</v>
      </c>
      <c r="K60" s="98">
        <v>0</v>
      </c>
      <c r="L60" s="98">
        <v>0</v>
      </c>
      <c r="M60" s="98">
        <v>0</v>
      </c>
      <c r="N60" s="98">
        <v>0</v>
      </c>
      <c r="O60" s="98">
        <v>0</v>
      </c>
      <c r="P60" s="72">
        <f>SUM(C60:O60)</f>
        <v>250</v>
      </c>
    </row>
    <row r="61" ht="14.25">
      <c r="A61" s="73" t="s">
        <v>47</v>
      </c>
      <c r="B61" s="97"/>
      <c r="C61" s="98">
        <v>200</v>
      </c>
      <c r="D61" s="98">
        <v>0</v>
      </c>
      <c r="E61" s="98">
        <v>0</v>
      </c>
      <c r="F61" s="98">
        <v>0</v>
      </c>
      <c r="G61" s="98">
        <v>0</v>
      </c>
      <c r="H61" s="98">
        <v>0</v>
      </c>
      <c r="I61" s="98">
        <v>0</v>
      </c>
      <c r="J61" s="98">
        <v>0</v>
      </c>
      <c r="K61" s="98">
        <v>0</v>
      </c>
      <c r="L61" s="98">
        <v>0</v>
      </c>
      <c r="M61" s="98">
        <v>0</v>
      </c>
      <c r="N61" s="98">
        <v>0</v>
      </c>
      <c r="O61" s="98">
        <v>0</v>
      </c>
      <c r="P61" s="72">
        <f>SUM(C61:O61)</f>
        <v>200</v>
      </c>
    </row>
    <row r="62" ht="14.25">
      <c r="A62" s="101" t="s">
        <v>48</v>
      </c>
      <c r="B62" s="102"/>
      <c r="C62" s="103">
        <v>200</v>
      </c>
      <c r="D62" s="103">
        <v>0</v>
      </c>
      <c r="E62" s="103">
        <v>0</v>
      </c>
      <c r="F62" s="103">
        <v>0</v>
      </c>
      <c r="G62" s="103">
        <v>0</v>
      </c>
      <c r="H62" s="103">
        <v>0</v>
      </c>
      <c r="I62" s="103">
        <v>0</v>
      </c>
      <c r="J62" s="103">
        <v>0</v>
      </c>
      <c r="K62" s="103">
        <v>0</v>
      </c>
      <c r="L62" s="103">
        <v>0</v>
      </c>
      <c r="M62" s="103">
        <v>0</v>
      </c>
      <c r="N62" s="103">
        <v>0</v>
      </c>
      <c r="O62" s="103">
        <v>0</v>
      </c>
      <c r="P62" s="77">
        <f>SUM(C62:O62)</f>
        <v>200</v>
      </c>
    </row>
    <row r="63" ht="14.25">
      <c r="A63" s="104" t="s">
        <v>49</v>
      </c>
      <c r="B63" s="105"/>
      <c r="C63" s="106">
        <f>SUM(C40:C62)</f>
        <v>2500</v>
      </c>
      <c r="D63" s="106" t="e">
        <f>SUM(D40:D62)</f>
        <v>#REF!</v>
      </c>
      <c r="E63" s="106" t="e">
        <f>SUM(E40:E62)</f>
        <v>#REF!</v>
      </c>
      <c r="F63" s="106" t="e">
        <f>SUM(F40:F62)</f>
        <v>#REF!</v>
      </c>
      <c r="G63" s="106" t="e">
        <f>SUM(G40:G62)</f>
        <v>#REF!</v>
      </c>
      <c r="H63" s="106" t="e">
        <f>SUM(H40:H62)</f>
        <v>#REF!</v>
      </c>
      <c r="I63" s="107" t="e">
        <f>SUM(I40:I62)</f>
        <v>#REF!</v>
      </c>
      <c r="J63" s="108" t="e">
        <f>SUM(J40:J62)</f>
        <v>#REF!</v>
      </c>
      <c r="K63" s="108" t="e">
        <f>SUM(K40:K62)</f>
        <v>#REF!</v>
      </c>
      <c r="L63" s="108" t="e">
        <f>SUM(L40:L62)</f>
        <v>#REF!</v>
      </c>
      <c r="M63" s="108" t="e">
        <f>SUM(M40:M62)</f>
        <v>#REF!</v>
      </c>
      <c r="N63" s="108" t="e">
        <f>SUM(N40:N62)</f>
        <v>#REF!</v>
      </c>
      <c r="O63" s="108" t="e">
        <f>SUM(O40:O62)</f>
        <v>#REF!</v>
      </c>
      <c r="P63" s="109" t="e">
        <f>SUM(C63:O63)</f>
        <v>#REF!</v>
      </c>
    </row>
    <row r="64" ht="14.25">
      <c r="A64" s="17"/>
      <c r="B64" s="110"/>
      <c r="C64" s="111"/>
      <c r="D64" s="111"/>
      <c r="E64" s="111"/>
      <c r="F64" s="111"/>
      <c r="G64" s="111"/>
      <c r="H64" s="111"/>
      <c r="I64" s="111"/>
      <c r="J64" s="111"/>
      <c r="K64" s="111"/>
      <c r="L64" s="111"/>
      <c r="M64" s="111"/>
      <c r="N64" s="111"/>
      <c r="O64" s="111"/>
      <c r="P64" s="112"/>
    </row>
    <row r="65" ht="14.25">
      <c r="A65" s="113"/>
      <c r="B65" s="114" t="s">
        <v>50</v>
      </c>
      <c r="C65" s="115">
        <f>C35-C63</f>
        <v>0</v>
      </c>
      <c r="D65" s="106" t="e">
        <f>D35-D63</f>
        <v>#REF!</v>
      </c>
      <c r="E65" s="106" t="e">
        <f>E35-E63</f>
        <v>#REF!</v>
      </c>
      <c r="F65" s="106" t="e">
        <f>F35-F63</f>
        <v>#REF!</v>
      </c>
      <c r="G65" s="106" t="e">
        <f>G35-G63</f>
        <v>#REF!</v>
      </c>
      <c r="H65" s="106" t="e">
        <f>H35-H63</f>
        <v>#REF!</v>
      </c>
      <c r="I65" s="106" t="e">
        <f>I35-I63</f>
        <v>#REF!</v>
      </c>
      <c r="J65" s="106" t="e">
        <f>J35-J63</f>
        <v>#REF!</v>
      </c>
      <c r="K65" s="106" t="e">
        <f>K35-K63</f>
        <v>#REF!</v>
      </c>
      <c r="L65" s="106" t="e">
        <f>L35-L63</f>
        <v>#REF!</v>
      </c>
      <c r="M65" s="106" t="e">
        <f>M35-M63</f>
        <v>#REF!</v>
      </c>
      <c r="N65" s="106" t="e">
        <f>N35-N63</f>
        <v>#REF!</v>
      </c>
      <c r="O65" s="106" t="e">
        <f>O35-O63</f>
        <v>#REF!</v>
      </c>
      <c r="P65" s="88" t="e">
        <f>P35-P63</f>
        <v>#REF!</v>
      </c>
    </row>
    <row r="66" ht="14.25">
      <c r="A66" s="17"/>
      <c r="B66" s="116"/>
      <c r="C66" s="117"/>
      <c r="D66" s="117"/>
      <c r="E66" s="117"/>
      <c r="F66" s="117"/>
      <c r="G66" s="117"/>
      <c r="H66" s="117"/>
      <c r="I66" s="117"/>
      <c r="J66" s="117"/>
      <c r="K66" s="117"/>
      <c r="L66" s="117"/>
      <c r="M66" s="117"/>
      <c r="N66" s="117"/>
      <c r="O66" s="117"/>
      <c r="P66" s="117"/>
    </row>
    <row r="67" ht="60.75" customHeight="1">
      <c r="A67" s="118"/>
      <c r="B67" s="119" t="s">
        <v>51</v>
      </c>
      <c r="C67" s="120">
        <v>0</v>
      </c>
      <c r="D67" s="106">
        <f>C69</f>
        <v>0</v>
      </c>
      <c r="E67" s="106" t="e">
        <f>D69</f>
        <v>#REF!</v>
      </c>
      <c r="F67" s="106" t="e">
        <f>E69</f>
        <v>#REF!</v>
      </c>
      <c r="G67" s="106" t="e">
        <f>F69</f>
        <v>#REF!</v>
      </c>
      <c r="H67" s="106" t="e">
        <f>G69</f>
        <v>#REF!</v>
      </c>
      <c r="I67" s="106" t="e">
        <f>H69</f>
        <v>#REF!</v>
      </c>
      <c r="J67" s="106" t="e">
        <f>I69</f>
        <v>#REF!</v>
      </c>
      <c r="K67" s="106" t="e">
        <f>J69</f>
        <v>#REF!</v>
      </c>
      <c r="L67" s="106" t="e">
        <f>K69</f>
        <v>#REF!</v>
      </c>
      <c r="M67" s="106" t="e">
        <f>L69</f>
        <v>#REF!</v>
      </c>
      <c r="N67" s="106" t="e">
        <f>M69</f>
        <v>#REF!</v>
      </c>
      <c r="O67" s="106" t="e">
        <f>N69</f>
        <v>#REF!</v>
      </c>
      <c r="P67" s="88" t="e">
        <f>O69</f>
        <v>#REF!</v>
      </c>
    </row>
    <row r="68" ht="14.25">
      <c r="A68" s="121"/>
      <c r="B68" s="122"/>
      <c r="C68" s="117"/>
      <c r="D68" s="117"/>
      <c r="E68" s="117"/>
      <c r="F68" s="117"/>
      <c r="G68" s="117"/>
      <c r="H68" s="117"/>
      <c r="I68" s="117"/>
      <c r="J68" s="117"/>
      <c r="K68" s="117"/>
      <c r="L68" s="117"/>
      <c r="M68" s="117"/>
      <c r="N68" s="117"/>
      <c r="O68" s="117"/>
      <c r="P68" s="117"/>
    </row>
    <row r="69" ht="14.25">
      <c r="A69" s="118"/>
      <c r="B69" s="119" t="s">
        <v>52</v>
      </c>
      <c r="C69" s="115">
        <f>C65+C67</f>
        <v>0</v>
      </c>
      <c r="D69" s="106" t="e">
        <f>D65+D67</f>
        <v>#REF!</v>
      </c>
      <c r="E69" s="106" t="e">
        <f>E65+E67</f>
        <v>#REF!</v>
      </c>
      <c r="F69" s="106" t="e">
        <f>F65+F67</f>
        <v>#REF!</v>
      </c>
      <c r="G69" s="106" t="e">
        <f>G65+G67</f>
        <v>#REF!</v>
      </c>
      <c r="H69" s="106" t="e">
        <f>H65+H67</f>
        <v>#REF!</v>
      </c>
      <c r="I69" s="106" t="e">
        <f>I65+I67</f>
        <v>#REF!</v>
      </c>
      <c r="J69" s="106" t="e">
        <f>J65+J67</f>
        <v>#REF!</v>
      </c>
      <c r="K69" s="106" t="e">
        <f>K65+K67</f>
        <v>#REF!</v>
      </c>
      <c r="L69" s="106" t="e">
        <f>L65+L67</f>
        <v>#REF!</v>
      </c>
      <c r="M69" s="106" t="e">
        <f>M65+M67</f>
        <v>#REF!</v>
      </c>
      <c r="N69" s="106" t="e">
        <f>N65+N67</f>
        <v>#REF!</v>
      </c>
      <c r="O69" s="106" t="e">
        <f>O65+O67</f>
        <v>#REF!</v>
      </c>
      <c r="P69" s="88" t="e">
        <f>P67</f>
        <v>#REF!</v>
      </c>
    </row>
    <row r="70" ht="14.25">
      <c r="A70" s="17"/>
      <c r="B70" s="17"/>
      <c r="C70" s="17"/>
      <c r="D70" s="17"/>
      <c r="E70" s="17"/>
      <c r="F70" s="17"/>
      <c r="G70" s="17"/>
      <c r="H70" s="17"/>
      <c r="I70" s="17"/>
      <c r="J70" s="17"/>
      <c r="K70" s="17"/>
      <c r="L70" s="17"/>
      <c r="M70" s="17"/>
      <c r="N70" s="17"/>
      <c r="O70" s="17"/>
      <c r="P70" s="17"/>
    </row>
    <row r="71" ht="14.25">
      <c r="A71" s="17"/>
      <c r="B71" s="123" t="s">
        <v>53</v>
      </c>
      <c r="C71" s="124" t="e">
        <f t="array" ref="C71">_xlfn.IFS(#REF!="Stress test at 10% reduction in revenue",0.9,#REF!="Stress test at 15% reduction in revenue",0.85,#REF!="Stress test at 20% reduction in revenue",0.8)</f>
        <v>#REF!</v>
      </c>
      <c r="D71" s="17"/>
      <c r="E71" s="17"/>
      <c r="F71" s="17"/>
      <c r="G71" s="17"/>
      <c r="H71" s="17"/>
      <c r="I71" s="17"/>
      <c r="J71" s="17"/>
      <c r="K71" s="17"/>
      <c r="L71" s="17"/>
      <c r="M71" s="17"/>
      <c r="N71" s="17"/>
      <c r="O71" s="17"/>
      <c r="P71" s="17"/>
    </row>
    <row r="72" ht="14.25">
      <c r="A72" s="17"/>
      <c r="B72" s="123" t="s">
        <v>54</v>
      </c>
      <c r="C72" s="17"/>
      <c r="D72" s="17"/>
      <c r="E72" s="17"/>
      <c r="F72" s="17"/>
      <c r="G72" s="17"/>
      <c r="H72" s="17"/>
      <c r="I72" s="17"/>
      <c r="J72" s="17"/>
      <c r="K72" s="17"/>
      <c r="L72" s="17"/>
      <c r="M72" s="17"/>
      <c r="N72" s="17"/>
      <c r="O72" s="17"/>
      <c r="P72" s="17"/>
    </row>
    <row r="73" ht="14.25">
      <c r="A73" s="17"/>
      <c r="B73" s="123" t="s">
        <v>55</v>
      </c>
      <c r="C73" s="17"/>
      <c r="D73" s="17"/>
      <c r="E73" s="17"/>
      <c r="F73" s="17"/>
      <c r="G73" s="17"/>
      <c r="H73" s="17"/>
      <c r="I73" s="17"/>
      <c r="J73" s="17"/>
      <c r="K73" s="17"/>
      <c r="L73" s="17"/>
      <c r="M73" s="17"/>
      <c r="N73" s="17"/>
      <c r="O73" s="17"/>
      <c r="P73" s="17"/>
    </row>
    <row r="74" ht="14.25">
      <c r="A74" s="17"/>
      <c r="B74" s="17"/>
      <c r="C74" s="17"/>
      <c r="D74" s="17"/>
      <c r="E74" s="17"/>
      <c r="F74" s="17"/>
      <c r="G74" s="17"/>
      <c r="H74" s="17"/>
      <c r="I74" s="17"/>
      <c r="J74" s="17"/>
      <c r="K74" s="17"/>
      <c r="L74" s="17"/>
      <c r="M74" s="17"/>
      <c r="N74" s="17"/>
      <c r="O74" s="17"/>
      <c r="P74" s="17"/>
    </row>
    <row r="75" ht="14.25">
      <c r="A75" s="17"/>
      <c r="B75" s="53"/>
      <c r="C75" s="53"/>
      <c r="D75" s="53"/>
      <c r="E75" s="53"/>
      <c r="F75" s="53"/>
      <c r="G75" s="53"/>
      <c r="H75" s="53"/>
      <c r="I75" s="53"/>
      <c r="J75" s="53"/>
      <c r="K75" s="53"/>
      <c r="L75" s="53"/>
      <c r="M75" s="17"/>
      <c r="N75" s="17"/>
      <c r="O75" s="17"/>
      <c r="P75" s="17"/>
    </row>
    <row r="76" ht="14.25">
      <c r="A76" s="125"/>
      <c r="B76" s="126" t="s">
        <v>56</v>
      </c>
      <c r="C76" s="127"/>
      <c r="D76" s="127"/>
      <c r="E76" s="127"/>
      <c r="F76" s="127"/>
      <c r="G76" s="127"/>
      <c r="H76" s="127"/>
      <c r="I76" s="127"/>
      <c r="J76" s="127"/>
      <c r="K76" s="127"/>
      <c r="L76" s="128"/>
      <c r="M76" s="17"/>
      <c r="N76" s="17"/>
      <c r="O76" s="17"/>
      <c r="P76" s="17"/>
    </row>
    <row r="77" ht="14.25">
      <c r="A77" s="125"/>
      <c r="B77" s="129" t="s">
        <v>57</v>
      </c>
      <c r="C77" s="130"/>
      <c r="D77" s="130"/>
      <c r="E77" s="130"/>
      <c r="F77" s="130"/>
      <c r="G77" s="130"/>
      <c r="H77" s="130"/>
      <c r="I77" s="130"/>
      <c r="J77" s="130"/>
      <c r="K77" s="130"/>
      <c r="L77" s="131"/>
      <c r="M77" s="17"/>
      <c r="N77" s="17"/>
      <c r="O77" s="17"/>
      <c r="P77" s="17"/>
    </row>
    <row r="78" ht="14.25">
      <c r="A78" s="125"/>
      <c r="B78" s="132"/>
      <c r="C78" s="133"/>
      <c r="D78" s="133"/>
      <c r="E78" s="133"/>
      <c r="F78" s="133"/>
      <c r="G78" s="133"/>
      <c r="H78" s="133"/>
      <c r="I78" s="133"/>
      <c r="J78" s="133"/>
      <c r="K78" s="133"/>
      <c r="L78" s="134"/>
      <c r="M78" s="17"/>
      <c r="N78" s="17"/>
      <c r="O78" s="17"/>
      <c r="P78" s="17"/>
    </row>
  </sheetData>
  <mergeCells count="12">
    <mergeCell ref="B3:I3"/>
    <mergeCell ref="B4:I4"/>
    <mergeCell ref="A6:L13"/>
    <mergeCell ref="O12:P12"/>
    <mergeCell ref="O13:P13"/>
    <mergeCell ref="D22:O22"/>
    <mergeCell ref="A35:B35"/>
    <mergeCell ref="D38:O38"/>
    <mergeCell ref="A63:B63"/>
    <mergeCell ref="B76:L76"/>
    <mergeCell ref="B77:L77"/>
    <mergeCell ref="B78:L78"/>
  </mergeCells>
  <dataValidations count="2" disablePrompts="0">
    <dataValidation sqref="B18" type="none" allowBlank="1" errorStyle="stop" imeMode="noControl" operator="between" prompt="Please choose from 12 months (1yr) up to 60 months (5yrs)" showDropDown="0" showErrorMessage="1" showInputMessage="1"/>
    <dataValidation sqref="B16" type="none" allowBlank="1" errorStyle="stop" imeMode="noControl" operator="between" prompt="The minimum you can borrow is £500 up to a maximum of £25,000" showDropDown="0" showErrorMessage="1" showInputMessage="1"/>
  </dataValidations>
  <printOptions headings="0" gridLines="0"/>
  <pageMargins left="0.70078740157480324" right="0.70078740157480324" top="0.75196850393700787" bottom="0.75196850393700787"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headerFooter/>
  <legacyDrawing r:id="rId3"/>
  <extLst>
    <ext xmlns:x14="http://schemas.microsoft.com/office/spreadsheetml/2009/9/main" uri="{CCE6A557-97BC-4b89-ADB6-D9C93CAAB3DF}">
      <x14:dataValidations xmlns:xm="http://schemas.microsoft.com/office/excel/2006/main" count="1" disablePrompts="0">
        <x14:dataValidation xr:uid="{00330002-0015-4DEC-8408-00AD004B0091}" type="list" allowBlank="1" errorStyle="stop" imeMode="noControl" operator="between" showDropDown="0" showErrorMessage="1" showInputMessage="1">
          <x14:formula1>
            <xm:f>$B$89:$B$100</xm:f>
          </x14:formula1>
          <xm:sqref>B21</xm:sqref>
        </x14:dataValidation>
      </x14:dataValidations>
    </ext>
  </extLst>
</worksheet>
</file>

<file path=docProps/app.xml><?xml version="1.0" encoding="utf-8"?>
<Properties xmlns="http://schemas.openxmlformats.org/officeDocument/2006/extended-properties" xmlns:vt="http://schemas.openxmlformats.org/officeDocument/2006/docPropsVTypes">
  <Application>ONLYOFFICE/9.3.0.140</Application>
  <DocSecurity>0</DocSecurity>
  <ScaleCrop>0</ScaleCrop>
  <HeadingPairs>
    <vt:vector size="0" baseType="variant"/>
  </HeadingPairs>
  <TitlesOfParts>
    <vt:vector size="0" baseType="lpstr"/>
  </TitlesOfParts>
  <Company/>
  <LinksUpToDate>0</LinksUpToDate>
  <SharedDoc>0</SharedDoc>
  <HyperlinksChanged>0</HyperlinksChanged>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revision>1</cp:revision>
  <dcterms:modified xsi:type="dcterms:W3CDTF">2026-03-04T16:36:57Z</dcterms:modified>
</cp:coreProperties>
</file>